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tru\Documents\Stics\JavaSTICS-1.5.2-STICS-10.1.1\Practical_Work_3_students\"/>
    </mc:Choice>
  </mc:AlternateContent>
  <xr:revisionPtr revIDLastSave="0" documentId="13_ncr:1_{51A081C3-3639-493E-BB35-2E3359F18124}" xr6:coauthVersionLast="47" xr6:coauthVersionMax="47" xr10:uidLastSave="{00000000-0000-0000-0000-000000000000}"/>
  <bookViews>
    <workbookView xWindow="35796" yWindow="1236" windowWidth="17280" windowHeight="8976" tabRatio="500" xr2:uid="{00000000-000D-0000-FFFF-FFFF00000000}"/>
  </bookViews>
  <sheets>
    <sheet name="biomass and water" sheetId="8" r:id="rId1"/>
  </sheets>
  <definedNames>
    <definedName name="_xlnm._FilterDatabase" localSheetId="0" hidden="1">'biomass and water'!$A$2:$A$769</definedName>
  </definedNames>
  <calcPr calcId="191029"/>
</workbook>
</file>

<file path=xl/calcChain.xml><?xml version="1.0" encoding="utf-8"?>
<calcChain xmlns="http://schemas.openxmlformats.org/spreadsheetml/2006/main">
  <c r="B23" i="8" l="1"/>
  <c r="C23" i="8"/>
  <c r="D23" i="8"/>
  <c r="E23" i="8"/>
  <c r="F23" i="8"/>
  <c r="G23" i="8"/>
  <c r="H23" i="8"/>
  <c r="I23" i="8"/>
  <c r="J23" i="8"/>
  <c r="AK23" i="8"/>
  <c r="AJ23" i="8"/>
  <c r="AI23" i="8"/>
  <c r="AH23" i="8"/>
  <c r="AB23" i="8"/>
  <c r="AA23" i="8"/>
  <c r="Z23" i="8"/>
  <c r="Y23" i="8"/>
  <c r="S23" i="8"/>
  <c r="R23" i="8"/>
  <c r="Q23" i="8"/>
  <c r="P23" i="8"/>
  <c r="AG23" i="8"/>
  <c r="AF23" i="8"/>
  <c r="X23" i="8"/>
  <c r="W23" i="8"/>
  <c r="O23" i="8"/>
  <c r="N23" i="8"/>
  <c r="K23" i="8"/>
  <c r="L23" i="8"/>
  <c r="M23" i="8"/>
  <c r="T23" i="8"/>
  <c r="U23" i="8"/>
  <c r="V23" i="8"/>
  <c r="AC23" i="8"/>
  <c r="AD23" i="8"/>
  <c r="AE23" i="8"/>
</calcChain>
</file>

<file path=xl/sharedStrings.xml><?xml version="1.0" encoding="utf-8"?>
<sst xmlns="http://schemas.openxmlformats.org/spreadsheetml/2006/main" count="63" uniqueCount="36">
  <si>
    <t>usm_name</t>
  </si>
  <si>
    <t>SOC</t>
  </si>
  <si>
    <t>SON</t>
  </si>
  <si>
    <t>We do what we want</t>
  </si>
  <si>
    <t>Organic matter lovers</t>
  </si>
  <si>
    <t>deep infiltration</t>
  </si>
  <si>
    <t>leaching</t>
  </si>
  <si>
    <t>Reference treatment</t>
  </si>
  <si>
    <t>Leguminous lovers</t>
  </si>
  <si>
    <t>mafauchetot</t>
  </si>
  <si>
    <t>12_T5_2016_b1</t>
  </si>
  <si>
    <t>13_T5_2017_b1</t>
  </si>
  <si>
    <t>01_T5_2009_b1</t>
  </si>
  <si>
    <t>02_T5_2010_a1</t>
  </si>
  <si>
    <t>03_T5_2010_b1</t>
  </si>
  <si>
    <t>04_T5_2011_b1</t>
  </si>
  <si>
    <t>05_T5_2012_b1</t>
  </si>
  <si>
    <t>06_T5_2013_a1</t>
  </si>
  <si>
    <t>07_T5_2013_b1</t>
  </si>
  <si>
    <t>08_T5_2014_a1</t>
  </si>
  <si>
    <t>09_T5_2014_b1</t>
  </si>
  <si>
    <t>10_T5_2015_b1</t>
  </si>
  <si>
    <t>11_T5_2016_a1</t>
  </si>
  <si>
    <t>14_T5_2018_b1</t>
  </si>
  <si>
    <t>15_T5_2019_a1</t>
  </si>
  <si>
    <t>16_T5_2019_b1</t>
  </si>
  <si>
    <t>17_T5_2020_a1</t>
  </si>
  <si>
    <t>18_T5_2020_b1</t>
  </si>
  <si>
    <t>19_T5_2021_b1</t>
  </si>
  <si>
    <t>masecnp</t>
  </si>
  <si>
    <t>mafruit</t>
  </si>
  <si>
    <t>impact positif</t>
  </si>
  <si>
    <t>impact négatif</t>
  </si>
  <si>
    <t>SOCtot</t>
  </si>
  <si>
    <t>SONtot</t>
  </si>
  <si>
    <t>Initial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</si>
</sst>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5"/>
      <name val="Calibri"/>
      <family val="2"/>
    </font>
    <font>
      <b/>
      <i/>
      <sz val="11"/>
      <color rgb="FFFF0000"/>
      <name val="Calibri"/>
      <family val="2"/>
    </font>
    <font>
      <b/>
      <sz val="11"/>
      <color theme="9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1"/>
      <color rgb="FFFF0000"/>
      <name val="Calibri"/>
      <family val="2"/>
    </font>
    <font>
      <b/>
      <i/>
      <sz val="11"/>
      <color theme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2" fontId="0" fillId="0" borderId="0" xfId="0" applyNumberFormat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164" fontId="2" fillId="4" borderId="4" xfId="0" applyNumberFormat="1" applyFont="1" applyFill="1" applyBorder="1"/>
    <xf numFmtId="164" fontId="2" fillId="4" borderId="6" xfId="0" applyNumberFormat="1" applyFont="1" applyFill="1" applyBorder="1"/>
    <xf numFmtId="164" fontId="5" fillId="5" borderId="6" xfId="0" applyNumberFormat="1" applyFont="1" applyFill="1" applyBorder="1"/>
    <xf numFmtId="164" fontId="5" fillId="3" borderId="4" xfId="0" applyNumberFormat="1" applyFont="1" applyFill="1" applyBorder="1"/>
    <xf numFmtId="164" fontId="5" fillId="3" borderId="6" xfId="0" applyNumberFormat="1" applyFont="1" applyFill="1" applyBorder="1"/>
    <xf numFmtId="164" fontId="5" fillId="2" borderId="4" xfId="0" applyNumberFormat="1" applyFont="1" applyFill="1" applyBorder="1"/>
    <xf numFmtId="164" fontId="5" fillId="2" borderId="6" xfId="0" applyNumberFormat="1" applyFont="1" applyFill="1" applyBorder="1"/>
    <xf numFmtId="164" fontId="2" fillId="4" borderId="0" xfId="0" applyNumberFormat="1" applyFont="1" applyFill="1"/>
    <xf numFmtId="164" fontId="2" fillId="5" borderId="0" xfId="0" applyNumberFormat="1" applyFont="1" applyFill="1"/>
    <xf numFmtId="164" fontId="5" fillId="5" borderId="4" xfId="0" applyNumberFormat="1" applyFont="1" applyFill="1" applyBorder="1"/>
    <xf numFmtId="164" fontId="5" fillId="5" borderId="0" xfId="0" applyNumberFormat="1" applyFont="1" applyFill="1"/>
    <xf numFmtId="164" fontId="2" fillId="3" borderId="0" xfId="0" applyNumberFormat="1" applyFont="1" applyFill="1"/>
    <xf numFmtId="164" fontId="5" fillId="3" borderId="0" xfId="0" applyNumberFormat="1" applyFont="1" applyFill="1"/>
    <xf numFmtId="164" fontId="2" fillId="2" borderId="0" xfId="0" applyNumberFormat="1" applyFont="1" applyFill="1"/>
    <xf numFmtId="164" fontId="5" fillId="2" borderId="0" xfId="0" applyNumberFormat="1" applyFont="1" applyFill="1"/>
    <xf numFmtId="164" fontId="4" fillId="4" borderId="0" xfId="0" applyNumberFormat="1" applyFont="1" applyFill="1"/>
    <xf numFmtId="164" fontId="4" fillId="4" borderId="5" xfId="0" applyNumberFormat="1" applyFont="1" applyFill="1" applyBorder="1"/>
    <xf numFmtId="0" fontId="6" fillId="0" borderId="0" xfId="0" applyFont="1"/>
    <xf numFmtId="164" fontId="6" fillId="4" borderId="4" xfId="0" applyNumberFormat="1" applyFont="1" applyFill="1" applyBorder="1"/>
    <xf numFmtId="164" fontId="6" fillId="4" borderId="0" xfId="0" applyNumberFormat="1" applyFont="1" applyFill="1"/>
    <xf numFmtId="164" fontId="6" fillId="4" borderId="6" xfId="0" applyNumberFormat="1" applyFont="1" applyFill="1" applyBorder="1"/>
    <xf numFmtId="164" fontId="6" fillId="4" borderId="5" xfId="0" applyNumberFormat="1" applyFont="1" applyFill="1" applyBorder="1"/>
    <xf numFmtId="164" fontId="6" fillId="5" borderId="4" xfId="0" applyNumberFormat="1" applyFont="1" applyFill="1" applyBorder="1"/>
    <xf numFmtId="164" fontId="6" fillId="5" borderId="0" xfId="0" applyNumberFormat="1" applyFont="1" applyFill="1"/>
    <xf numFmtId="164" fontId="6" fillId="5" borderId="6" xfId="0" applyNumberFormat="1" applyFont="1" applyFill="1" applyBorder="1"/>
    <xf numFmtId="164" fontId="6" fillId="3" borderId="4" xfId="0" applyNumberFormat="1" applyFont="1" applyFill="1" applyBorder="1"/>
    <xf numFmtId="164" fontId="6" fillId="3" borderId="0" xfId="0" applyNumberFormat="1" applyFont="1" applyFill="1"/>
    <xf numFmtId="164" fontId="6" fillId="3" borderId="6" xfId="0" applyNumberFormat="1" applyFont="1" applyFill="1" applyBorder="1"/>
    <xf numFmtId="164" fontId="6" fillId="2" borderId="4" xfId="0" applyNumberFormat="1" applyFont="1" applyFill="1" applyBorder="1"/>
    <xf numFmtId="164" fontId="6" fillId="2" borderId="0" xfId="0" applyNumberFormat="1" applyFont="1" applyFill="1"/>
    <xf numFmtId="164" fontId="6" fillId="2" borderId="6" xfId="0" applyNumberFormat="1" applyFont="1" applyFill="1" applyBorder="1"/>
    <xf numFmtId="164" fontId="5" fillId="5" borderId="5" xfId="0" applyNumberFormat="1" applyFont="1" applyFill="1" applyBorder="1"/>
    <xf numFmtId="164" fontId="6" fillId="5" borderId="5" xfId="0" applyNumberFormat="1" applyFont="1" applyFill="1" applyBorder="1"/>
    <xf numFmtId="164" fontId="5" fillId="3" borderId="5" xfId="0" applyNumberFormat="1" applyFont="1" applyFill="1" applyBorder="1"/>
    <xf numFmtId="164" fontId="6" fillId="3" borderId="5" xfId="0" applyNumberFormat="1" applyFont="1" applyFill="1" applyBorder="1"/>
    <xf numFmtId="164" fontId="5" fillId="2" borderId="5" xfId="0" applyNumberFormat="1" applyFont="1" applyFill="1" applyBorder="1"/>
    <xf numFmtId="164" fontId="6" fillId="2" borderId="5" xfId="0" applyNumberFormat="1" applyFont="1" applyFill="1" applyBorder="1"/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164" fontId="7" fillId="0" borderId="0" xfId="0" applyNumberFormat="1" applyFont="1"/>
    <xf numFmtId="1" fontId="4" fillId="4" borderId="0" xfId="0" applyNumberFormat="1" applyFont="1" applyFill="1"/>
    <xf numFmtId="1" fontId="4" fillId="4" borderId="5" xfId="0" applyNumberFormat="1" applyFont="1" applyFill="1" applyBorder="1"/>
    <xf numFmtId="1" fontId="6" fillId="4" borderId="0" xfId="0" applyNumberFormat="1" applyFont="1" applyFill="1"/>
    <xf numFmtId="1" fontId="6" fillId="4" borderId="5" xfId="0" applyNumberFormat="1" applyFont="1" applyFill="1" applyBorder="1"/>
    <xf numFmtId="1" fontId="10" fillId="4" borderId="0" xfId="0" applyNumberFormat="1" applyFont="1" applyFill="1"/>
    <xf numFmtId="1" fontId="10" fillId="4" borderId="5" xfId="0" applyNumberFormat="1" applyFont="1" applyFill="1" applyBorder="1"/>
    <xf numFmtId="1" fontId="5" fillId="5" borderId="0" xfId="0" applyNumberFormat="1" applyFont="1" applyFill="1"/>
    <xf numFmtId="1" fontId="5" fillId="5" borderId="5" xfId="0" applyNumberFormat="1" applyFont="1" applyFill="1" applyBorder="1"/>
    <xf numFmtId="1" fontId="12" fillId="5" borderId="0" xfId="0" applyNumberFormat="1" applyFont="1" applyFill="1"/>
    <xf numFmtId="1" fontId="12" fillId="5" borderId="5" xfId="0" applyNumberFormat="1" applyFont="1" applyFill="1" applyBorder="1"/>
    <xf numFmtId="1" fontId="5" fillId="3" borderId="0" xfId="0" applyNumberFormat="1" applyFont="1" applyFill="1"/>
    <xf numFmtId="1" fontId="5" fillId="3" borderId="5" xfId="0" applyNumberFormat="1" applyFont="1" applyFill="1" applyBorder="1"/>
    <xf numFmtId="1" fontId="12" fillId="3" borderId="0" xfId="0" applyNumberFormat="1" applyFont="1" applyFill="1"/>
    <xf numFmtId="1" fontId="12" fillId="3" borderId="5" xfId="0" applyNumberFormat="1" applyFont="1" applyFill="1" applyBorder="1"/>
    <xf numFmtId="1" fontId="12" fillId="2" borderId="0" xfId="0" applyNumberFormat="1" applyFont="1" applyFill="1"/>
    <xf numFmtId="1" fontId="12" fillId="2" borderId="5" xfId="0" applyNumberFormat="1" applyFont="1" applyFill="1" applyBorder="1"/>
    <xf numFmtId="1" fontId="5" fillId="2" borderId="0" xfId="0" applyNumberFormat="1" applyFont="1" applyFill="1"/>
    <xf numFmtId="1" fontId="5" fillId="2" borderId="5" xfId="0" applyNumberFormat="1" applyFont="1" applyFill="1" applyBorder="1"/>
    <xf numFmtId="1" fontId="6" fillId="5" borderId="0" xfId="0" applyNumberFormat="1" applyFont="1" applyFill="1"/>
    <xf numFmtId="1" fontId="6" fillId="5" borderId="5" xfId="0" applyNumberFormat="1" applyFont="1" applyFill="1" applyBorder="1"/>
    <xf numFmtId="1" fontId="13" fillId="0" borderId="0" xfId="0" applyNumberFormat="1" applyFont="1"/>
    <xf numFmtId="1" fontId="7" fillId="0" borderId="0" xfId="0" applyNumberFormat="1" applyFont="1"/>
    <xf numFmtId="1" fontId="8" fillId="0" borderId="0" xfId="0" applyNumberFormat="1" applyFont="1"/>
    <xf numFmtId="1" fontId="6" fillId="3" borderId="0" xfId="0" applyNumberFormat="1" applyFont="1" applyFill="1"/>
    <xf numFmtId="1" fontId="6" fillId="3" borderId="5" xfId="0" applyNumberFormat="1" applyFont="1" applyFill="1" applyBorder="1"/>
    <xf numFmtId="1" fontId="6" fillId="2" borderId="0" xfId="0" applyNumberFormat="1" applyFont="1" applyFill="1"/>
    <xf numFmtId="1" fontId="6" fillId="2" borderId="5" xfId="0" applyNumberFormat="1" applyFont="1" applyFill="1" applyBorder="1"/>
    <xf numFmtId="1" fontId="14" fillId="0" borderId="0" xfId="0" applyNumberFormat="1" applyFont="1"/>
    <xf numFmtId="164" fontId="9" fillId="0" borderId="0" xfId="0" applyNumberFormat="1" applyFont="1"/>
    <xf numFmtId="1" fontId="9" fillId="0" borderId="0" xfId="0" applyNumberFormat="1" applyFont="1"/>
    <xf numFmtId="164" fontId="11" fillId="0" borderId="0" xfId="0" applyNumberFormat="1" applyFont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Normal" xfId="0" builtinId="0"/>
    <cellStyle name="Normal 2" xfId="1" xr:uid="{D57D3DDF-B3D7-4D8D-96F2-26D990720F47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C5E0B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EDEDED"/>
      <rgbColor rgb="FF9E91FD"/>
      <rgbColor rgb="FF993366"/>
      <rgbColor rgb="FFFFF2CC"/>
      <rgbColor rgb="FFDEEBF7"/>
      <rgbColor rgb="FF660066"/>
      <rgbColor rgb="FFF4B183"/>
      <rgbColor rgb="FF0066CC"/>
      <rgbColor rgb="FFB4C7E7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E699"/>
      <rgbColor rgb="FF9DC3E6"/>
      <rgbColor rgb="FFF88CCC"/>
      <rgbColor rgb="FFD0CECE"/>
      <rgbColor rgb="FFF8CBAD"/>
      <rgbColor rgb="FF3366FF"/>
      <rgbColor rgb="FFD6DCE5"/>
      <rgbColor rgb="FFA9D18E"/>
      <rgbColor rgb="FFFFD966"/>
      <rgbColor rgb="FFF7C9C9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1126-37C8-4E1A-A90D-186D3B10C9C3}">
  <dimension ref="A1:AK27"/>
  <sheetViews>
    <sheetView tabSelected="1" zoomScale="85" zoomScaleNormal="85" workbookViewId="0">
      <pane ySplit="2" topLeftCell="A12" activePane="bottomLeft" state="frozen"/>
      <selection pane="bottomLeft" activeCell="B3" sqref="B3:J22"/>
    </sheetView>
  </sheetViews>
  <sheetFormatPr baseColWidth="10" defaultRowHeight="14.4" x14ac:dyDescent="0.3"/>
  <cols>
    <col min="1" max="1" width="14.44140625" bestFit="1" customWidth="1"/>
    <col min="2" max="2" width="8.44140625" bestFit="1" customWidth="1"/>
    <col min="3" max="3" width="7" customWidth="1"/>
    <col min="4" max="4" width="11.6640625" bestFit="1" customWidth="1"/>
    <col min="5" max="5" width="14.44140625" bestFit="1" customWidth="1"/>
    <col min="6" max="6" width="8.109375" bestFit="1" customWidth="1"/>
    <col min="7" max="7" width="7.33203125" bestFit="1" customWidth="1"/>
    <col min="8" max="8" width="6.21875" bestFit="1" customWidth="1"/>
    <col min="9" max="9" width="6.88671875" bestFit="1" customWidth="1"/>
    <col min="10" max="10" width="7" bestFit="1" customWidth="1"/>
    <col min="11" max="11" width="8.44140625" bestFit="1" customWidth="1"/>
    <col min="12" max="12" width="7" bestFit="1" customWidth="1"/>
    <col min="13" max="13" width="11.6640625" bestFit="1" customWidth="1"/>
    <col min="14" max="14" width="14.44140625" bestFit="1" customWidth="1"/>
    <col min="15" max="15" width="8.109375" bestFit="1" customWidth="1"/>
    <col min="16" max="16" width="6.88671875" bestFit="1" customWidth="1"/>
    <col min="17" max="17" width="5.88671875" bestFit="1" customWidth="1"/>
    <col min="18" max="18" width="6.88671875" bestFit="1" customWidth="1"/>
    <col min="19" max="19" width="7" bestFit="1" customWidth="1"/>
    <col min="20" max="20" width="8.44140625" bestFit="1" customWidth="1"/>
    <col min="21" max="21" width="7" bestFit="1" customWidth="1"/>
    <col min="22" max="22" width="11.6640625" bestFit="1" customWidth="1"/>
    <col min="23" max="23" width="14.44140625" bestFit="1" customWidth="1"/>
    <col min="24" max="24" width="8.109375" bestFit="1" customWidth="1"/>
    <col min="25" max="25" width="6.88671875" bestFit="1" customWidth="1"/>
    <col min="26" max="26" width="5.88671875" bestFit="1" customWidth="1"/>
    <col min="27" max="27" width="6.88671875" bestFit="1" customWidth="1"/>
    <col min="28" max="28" width="7" bestFit="1" customWidth="1"/>
    <col min="29" max="29" width="8.44140625" bestFit="1" customWidth="1"/>
    <col min="30" max="30" width="7" bestFit="1" customWidth="1"/>
    <col min="31" max="31" width="11.6640625" bestFit="1" customWidth="1"/>
    <col min="32" max="32" width="14.44140625" customWidth="1"/>
    <col min="33" max="33" width="8.109375" bestFit="1" customWidth="1"/>
    <col min="34" max="34" width="8" bestFit="1" customWidth="1"/>
    <col min="35" max="35" width="6.88671875" bestFit="1" customWidth="1"/>
    <col min="36" max="36" width="9" bestFit="1" customWidth="1"/>
    <col min="37" max="37" width="7" bestFit="1" customWidth="1"/>
  </cols>
  <sheetData>
    <row r="1" spans="1:37" x14ac:dyDescent="0.3">
      <c r="B1" s="86" t="s">
        <v>7</v>
      </c>
      <c r="C1" s="87"/>
      <c r="D1" s="87"/>
      <c r="E1" s="87"/>
      <c r="F1" s="87"/>
      <c r="G1" s="87"/>
      <c r="H1" s="87"/>
      <c r="I1" s="87"/>
      <c r="J1" s="88"/>
      <c r="K1" s="89" t="s">
        <v>3</v>
      </c>
      <c r="L1" s="90"/>
      <c r="M1" s="90"/>
      <c r="N1" s="90"/>
      <c r="O1" s="90"/>
      <c r="P1" s="90"/>
      <c r="Q1" s="90"/>
      <c r="R1" s="90"/>
      <c r="S1" s="91"/>
      <c r="T1" s="92" t="s">
        <v>4</v>
      </c>
      <c r="U1" s="93"/>
      <c r="V1" s="93"/>
      <c r="W1" s="93"/>
      <c r="X1" s="93"/>
      <c r="Y1" s="93"/>
      <c r="Z1" s="93"/>
      <c r="AA1" s="93"/>
      <c r="AB1" s="94"/>
      <c r="AC1" s="95" t="s">
        <v>8</v>
      </c>
      <c r="AD1" s="96"/>
      <c r="AE1" s="96"/>
      <c r="AF1" s="96"/>
      <c r="AG1" s="96"/>
      <c r="AH1" s="96"/>
      <c r="AI1" s="96"/>
      <c r="AJ1" s="96"/>
      <c r="AK1" s="97"/>
    </row>
    <row r="2" spans="1:37" x14ac:dyDescent="0.3">
      <c r="A2" t="s">
        <v>0</v>
      </c>
      <c r="B2" s="2" t="s">
        <v>29</v>
      </c>
      <c r="C2" s="3" t="s">
        <v>30</v>
      </c>
      <c r="D2" s="21" t="s">
        <v>9</v>
      </c>
      <c r="E2" s="3" t="s">
        <v>5</v>
      </c>
      <c r="F2" s="4" t="s">
        <v>6</v>
      </c>
      <c r="G2" s="3" t="s">
        <v>1</v>
      </c>
      <c r="H2" s="4" t="s">
        <v>2</v>
      </c>
      <c r="I2" s="3" t="s">
        <v>33</v>
      </c>
      <c r="J2" s="4" t="s">
        <v>34</v>
      </c>
      <c r="K2" s="5" t="s">
        <v>29</v>
      </c>
      <c r="L2" s="6" t="s">
        <v>30</v>
      </c>
      <c r="M2" s="22" t="s">
        <v>9</v>
      </c>
      <c r="N2" s="6" t="s">
        <v>5</v>
      </c>
      <c r="O2" s="7" t="s">
        <v>6</v>
      </c>
      <c r="P2" s="6" t="s">
        <v>1</v>
      </c>
      <c r="Q2" s="7" t="s">
        <v>2</v>
      </c>
      <c r="R2" s="6" t="s">
        <v>33</v>
      </c>
      <c r="S2" s="7" t="s">
        <v>34</v>
      </c>
      <c r="T2" s="8" t="s">
        <v>29</v>
      </c>
      <c r="U2" s="9" t="s">
        <v>30</v>
      </c>
      <c r="V2" s="25" t="s">
        <v>9</v>
      </c>
      <c r="W2" s="9" t="s">
        <v>5</v>
      </c>
      <c r="X2" s="10" t="s">
        <v>6</v>
      </c>
      <c r="Y2" s="9" t="s">
        <v>1</v>
      </c>
      <c r="Z2" s="10" t="s">
        <v>2</v>
      </c>
      <c r="AA2" s="9" t="s">
        <v>33</v>
      </c>
      <c r="AB2" s="10" t="s">
        <v>34</v>
      </c>
      <c r="AC2" s="11" t="s">
        <v>29</v>
      </c>
      <c r="AD2" s="12" t="s">
        <v>30</v>
      </c>
      <c r="AE2" s="27" t="s">
        <v>9</v>
      </c>
      <c r="AF2" s="12" t="s">
        <v>5</v>
      </c>
      <c r="AG2" s="13" t="s">
        <v>6</v>
      </c>
      <c r="AH2" s="12" t="s">
        <v>1</v>
      </c>
      <c r="AI2" s="13" t="s">
        <v>2</v>
      </c>
      <c r="AJ2" s="12" t="s">
        <v>33</v>
      </c>
      <c r="AK2" s="13" t="s">
        <v>34</v>
      </c>
    </row>
    <row r="3" spans="1:37" x14ac:dyDescent="0.3">
      <c r="A3" t="s">
        <v>35</v>
      </c>
      <c r="B3" s="2"/>
      <c r="C3" s="3"/>
      <c r="D3" s="21"/>
      <c r="E3" s="3"/>
      <c r="F3" s="4"/>
      <c r="G3" s="59">
        <v>50059</v>
      </c>
      <c r="H3" s="60">
        <v>5291</v>
      </c>
      <c r="I3" s="59">
        <v>50059</v>
      </c>
      <c r="J3" s="60">
        <v>5291</v>
      </c>
      <c r="K3" s="5"/>
      <c r="L3" s="6"/>
      <c r="M3" s="22"/>
      <c r="N3" s="6"/>
      <c r="O3" s="7"/>
      <c r="P3" s="63">
        <v>50059</v>
      </c>
      <c r="Q3" s="64">
        <v>5291</v>
      </c>
      <c r="R3" s="63">
        <v>50059</v>
      </c>
      <c r="S3" s="64">
        <v>5291</v>
      </c>
      <c r="T3" s="8"/>
      <c r="U3" s="9"/>
      <c r="V3" s="25"/>
      <c r="W3" s="9"/>
      <c r="X3" s="10"/>
      <c r="Y3" s="67">
        <v>50059</v>
      </c>
      <c r="Z3" s="68">
        <v>5291</v>
      </c>
      <c r="AA3" s="67">
        <v>50059</v>
      </c>
      <c r="AB3" s="68">
        <v>5291</v>
      </c>
      <c r="AC3" s="11"/>
      <c r="AD3" s="12"/>
      <c r="AE3" s="27"/>
      <c r="AF3" s="12"/>
      <c r="AG3" s="13"/>
      <c r="AH3" s="69">
        <v>50059</v>
      </c>
      <c r="AI3" s="70">
        <v>5291</v>
      </c>
      <c r="AJ3" s="69">
        <v>50059</v>
      </c>
      <c r="AK3" s="70">
        <v>5291</v>
      </c>
    </row>
    <row r="4" spans="1:37" x14ac:dyDescent="0.3">
      <c r="A4" t="s">
        <v>12</v>
      </c>
      <c r="B4" s="14">
        <v>18.097999999999999</v>
      </c>
      <c r="C4" s="21">
        <v>3.6749999999999998</v>
      </c>
      <c r="D4" s="15">
        <v>0</v>
      </c>
      <c r="E4" s="29">
        <v>20.018999999999998</v>
      </c>
      <c r="F4" s="30">
        <v>1.3919999999999999</v>
      </c>
      <c r="G4" s="55">
        <v>49413.745999999999</v>
      </c>
      <c r="H4" s="56">
        <v>5245.2650000000003</v>
      </c>
      <c r="I4" s="55">
        <v>55905.483999999997</v>
      </c>
      <c r="J4" s="56">
        <v>5390.2759999999998</v>
      </c>
      <c r="K4" s="23"/>
      <c r="L4" s="24"/>
      <c r="M4" s="16"/>
      <c r="N4" s="24"/>
      <c r="O4" s="45"/>
      <c r="P4" s="61"/>
      <c r="Q4" s="62"/>
      <c r="R4" s="61"/>
      <c r="S4" s="62"/>
      <c r="T4" s="17"/>
      <c r="U4" s="26"/>
      <c r="V4" s="18"/>
      <c r="W4" s="26"/>
      <c r="X4" s="47"/>
      <c r="Y4" s="65"/>
      <c r="Z4" s="66"/>
      <c r="AA4" s="65"/>
      <c r="AB4" s="66"/>
      <c r="AC4" s="19"/>
      <c r="AD4" s="28"/>
      <c r="AE4" s="20"/>
      <c r="AF4" s="28"/>
      <c r="AG4" s="49"/>
      <c r="AH4" s="71"/>
      <c r="AI4" s="72"/>
      <c r="AJ4" s="71"/>
      <c r="AK4" s="72"/>
    </row>
    <row r="5" spans="1:37" s="31" customFormat="1" x14ac:dyDescent="0.3">
      <c r="A5" s="31" t="s">
        <v>13</v>
      </c>
      <c r="B5" s="32">
        <v>3.3000000000000002E-2</v>
      </c>
      <c r="C5" s="33">
        <v>0</v>
      </c>
      <c r="D5" s="34">
        <v>0</v>
      </c>
      <c r="E5" s="33">
        <v>22.164999999999999</v>
      </c>
      <c r="F5" s="35">
        <v>1.004</v>
      </c>
      <c r="G5" s="57">
        <v>52215.48</v>
      </c>
      <c r="H5" s="58">
        <v>5356.4290000000001</v>
      </c>
      <c r="I5" s="57">
        <v>53643.042999999998</v>
      </c>
      <c r="J5" s="58">
        <v>5384.0969999999998</v>
      </c>
      <c r="K5" s="36"/>
      <c r="L5" s="37"/>
      <c r="M5" s="38"/>
      <c r="N5" s="37"/>
      <c r="O5" s="46"/>
      <c r="P5" s="73"/>
      <c r="Q5" s="74"/>
      <c r="R5" s="73"/>
      <c r="S5" s="74"/>
      <c r="T5" s="39"/>
      <c r="U5" s="40"/>
      <c r="V5" s="41"/>
      <c r="W5" s="40"/>
      <c r="X5" s="48"/>
      <c r="Y5" s="78"/>
      <c r="Z5" s="79"/>
      <c r="AA5" s="78"/>
      <c r="AB5" s="79"/>
      <c r="AC5" s="42"/>
      <c r="AD5" s="43"/>
      <c r="AE5" s="44"/>
      <c r="AF5" s="43"/>
      <c r="AG5" s="50"/>
      <c r="AH5" s="80"/>
      <c r="AI5" s="81"/>
      <c r="AJ5" s="80"/>
      <c r="AK5" s="81"/>
    </row>
    <row r="6" spans="1:37" x14ac:dyDescent="0.3">
      <c r="A6" t="s">
        <v>14</v>
      </c>
      <c r="B6" s="14">
        <v>5.6680000000000001</v>
      </c>
      <c r="C6" s="21">
        <v>2.9060000000000001</v>
      </c>
      <c r="D6" s="15">
        <v>0</v>
      </c>
      <c r="E6" s="29">
        <v>3.6930000000000001</v>
      </c>
      <c r="F6" s="30">
        <v>0.14499999999999999</v>
      </c>
      <c r="G6" s="55">
        <v>52182.347999999998</v>
      </c>
      <c r="H6" s="56">
        <v>5361.6580000000004</v>
      </c>
      <c r="I6" s="55">
        <v>53032.637000000002</v>
      </c>
      <c r="J6" s="56">
        <v>5391.9</v>
      </c>
      <c r="K6" s="23"/>
      <c r="L6" s="24"/>
      <c r="M6" s="16"/>
      <c r="N6" s="24"/>
      <c r="O6" s="45"/>
      <c r="P6" s="61"/>
      <c r="Q6" s="62"/>
      <c r="R6" s="61"/>
      <c r="S6" s="62"/>
      <c r="T6" s="17"/>
      <c r="U6" s="26"/>
      <c r="V6" s="18"/>
      <c r="W6" s="26"/>
      <c r="X6" s="47"/>
      <c r="Y6" s="65"/>
      <c r="Z6" s="66"/>
      <c r="AA6" s="65"/>
      <c r="AB6" s="66"/>
      <c r="AC6" s="19"/>
      <c r="AD6" s="28"/>
      <c r="AE6" s="20"/>
      <c r="AF6" s="28"/>
      <c r="AG6" s="49"/>
      <c r="AH6" s="71"/>
      <c r="AI6" s="72"/>
      <c r="AJ6" s="71"/>
      <c r="AK6" s="72"/>
    </row>
    <row r="7" spans="1:37" x14ac:dyDescent="0.3">
      <c r="A7" t="s">
        <v>15</v>
      </c>
      <c r="B7" s="14">
        <v>16.175000000000001</v>
      </c>
      <c r="C7" s="21">
        <v>7.2690000000000001</v>
      </c>
      <c r="D7" s="15">
        <v>0</v>
      </c>
      <c r="E7" s="29">
        <v>84.488</v>
      </c>
      <c r="F7" s="30">
        <v>3.266</v>
      </c>
      <c r="G7" s="55">
        <v>49987.987999999998</v>
      </c>
      <c r="H7" s="56">
        <v>5288.7969999999996</v>
      </c>
      <c r="I7" s="55">
        <v>51927.902000000002</v>
      </c>
      <c r="J7" s="56">
        <v>5330.1859999999997</v>
      </c>
      <c r="K7" s="23"/>
      <c r="L7" s="24"/>
      <c r="M7" s="16"/>
      <c r="N7" s="24"/>
      <c r="O7" s="45"/>
      <c r="P7" s="61"/>
      <c r="Q7" s="62"/>
      <c r="R7" s="61"/>
      <c r="S7" s="62"/>
      <c r="T7" s="17"/>
      <c r="U7" s="26"/>
      <c r="V7" s="18"/>
      <c r="W7" s="26"/>
      <c r="X7" s="47"/>
      <c r="Y7" s="65"/>
      <c r="Z7" s="66"/>
      <c r="AA7" s="65"/>
      <c r="AB7" s="66"/>
      <c r="AC7" s="19"/>
      <c r="AD7" s="28"/>
      <c r="AE7" s="20"/>
      <c r="AF7" s="28"/>
      <c r="AG7" s="49"/>
      <c r="AH7" s="71"/>
      <c r="AI7" s="72"/>
      <c r="AJ7" s="71"/>
      <c r="AK7" s="72"/>
    </row>
    <row r="8" spans="1:37" x14ac:dyDescent="0.3">
      <c r="A8" t="s">
        <v>16</v>
      </c>
      <c r="B8" s="14">
        <v>11.788</v>
      </c>
      <c r="C8" s="21">
        <v>4.9779999999999998</v>
      </c>
      <c r="D8" s="15">
        <v>0</v>
      </c>
      <c r="E8" s="29">
        <v>54.265999999999998</v>
      </c>
      <c r="F8" s="30">
        <v>7.5999999999999998E-2</v>
      </c>
      <c r="G8" s="55">
        <v>48731.688000000002</v>
      </c>
      <c r="H8" s="56">
        <v>5191.3630000000003</v>
      </c>
      <c r="I8" s="55">
        <v>52866.648000000001</v>
      </c>
      <c r="J8" s="56">
        <v>5253.125</v>
      </c>
      <c r="K8" s="23"/>
      <c r="L8" s="24"/>
      <c r="M8" s="16"/>
      <c r="N8" s="24"/>
      <c r="O8" s="45"/>
      <c r="P8" s="61"/>
      <c r="Q8" s="62"/>
      <c r="R8" s="61"/>
      <c r="S8" s="62"/>
      <c r="T8" s="17"/>
      <c r="U8" s="26"/>
      <c r="V8" s="18"/>
      <c r="W8" s="26"/>
      <c r="X8" s="47"/>
      <c r="Y8" s="65"/>
      <c r="Z8" s="66"/>
      <c r="AA8" s="65"/>
      <c r="AB8" s="66"/>
      <c r="AC8" s="19"/>
      <c r="AD8" s="28"/>
      <c r="AE8" s="20"/>
      <c r="AF8" s="28"/>
      <c r="AG8" s="49"/>
      <c r="AH8" s="71"/>
      <c r="AI8" s="72"/>
      <c r="AJ8" s="71"/>
      <c r="AK8" s="72"/>
    </row>
    <row r="9" spans="1:37" s="31" customFormat="1" x14ac:dyDescent="0.3">
      <c r="A9" s="31" t="s">
        <v>17</v>
      </c>
      <c r="B9" s="32">
        <v>1.081</v>
      </c>
      <c r="C9" s="33">
        <v>0</v>
      </c>
      <c r="D9" s="34">
        <v>0</v>
      </c>
      <c r="E9" s="33">
        <v>174.15</v>
      </c>
      <c r="F9" s="35">
        <v>5.0000000000000001E-3</v>
      </c>
      <c r="G9" s="57">
        <v>49996.538999999997</v>
      </c>
      <c r="H9" s="58">
        <v>5219.8760000000002</v>
      </c>
      <c r="I9" s="57">
        <v>51216.133000000002</v>
      </c>
      <c r="J9" s="58">
        <v>5256.125</v>
      </c>
      <c r="K9" s="36"/>
      <c r="L9" s="37"/>
      <c r="M9" s="38"/>
      <c r="N9" s="37"/>
      <c r="O9" s="46"/>
      <c r="P9" s="73"/>
      <c r="Q9" s="74"/>
      <c r="R9" s="73"/>
      <c r="S9" s="74"/>
      <c r="T9" s="39"/>
      <c r="U9" s="40"/>
      <c r="V9" s="41"/>
      <c r="W9" s="40"/>
      <c r="X9" s="48"/>
      <c r="Y9" s="78"/>
      <c r="Z9" s="79"/>
      <c r="AA9" s="78"/>
      <c r="AB9" s="79"/>
      <c r="AC9" s="42"/>
      <c r="AD9" s="43"/>
      <c r="AE9" s="44"/>
      <c r="AF9" s="43"/>
      <c r="AG9" s="50"/>
      <c r="AH9" s="80"/>
      <c r="AI9" s="81"/>
      <c r="AJ9" s="80"/>
      <c r="AK9" s="81"/>
    </row>
    <row r="10" spans="1:37" x14ac:dyDescent="0.3">
      <c r="A10" t="s">
        <v>18</v>
      </c>
      <c r="B10" s="14">
        <v>13.089</v>
      </c>
      <c r="C10" s="21">
        <v>2.234</v>
      </c>
      <c r="D10" s="15">
        <v>0</v>
      </c>
      <c r="E10" s="29">
        <v>29.995999999999999</v>
      </c>
      <c r="F10" s="30">
        <v>6.7000000000000004E-2</v>
      </c>
      <c r="G10" s="55">
        <v>48650.254000000001</v>
      </c>
      <c r="H10" s="56">
        <v>5150.1530000000002</v>
      </c>
      <c r="I10" s="55">
        <v>54469.226999999999</v>
      </c>
      <c r="J10" s="56">
        <v>5306.402</v>
      </c>
      <c r="K10" s="23"/>
      <c r="L10" s="24"/>
      <c r="M10" s="16"/>
      <c r="N10" s="24"/>
      <c r="O10" s="45"/>
      <c r="P10" s="61"/>
      <c r="Q10" s="62"/>
      <c r="R10" s="61"/>
      <c r="S10" s="62"/>
      <c r="T10" s="17"/>
      <c r="U10" s="26"/>
      <c r="V10" s="18"/>
      <c r="W10" s="26"/>
      <c r="X10" s="47"/>
      <c r="Y10" s="65"/>
      <c r="Z10" s="66"/>
      <c r="AA10" s="65"/>
      <c r="AB10" s="66"/>
      <c r="AC10" s="19"/>
      <c r="AD10" s="28"/>
      <c r="AE10" s="20"/>
      <c r="AF10" s="28"/>
      <c r="AG10" s="49"/>
      <c r="AH10" s="71"/>
      <c r="AI10" s="72"/>
      <c r="AJ10" s="71"/>
      <c r="AK10" s="72"/>
    </row>
    <row r="11" spans="1:37" s="31" customFormat="1" x14ac:dyDescent="0.3">
      <c r="A11" s="31" t="s">
        <v>19</v>
      </c>
      <c r="B11" s="32">
        <v>1.2809999999999999</v>
      </c>
      <c r="C11" s="33">
        <v>0</v>
      </c>
      <c r="D11" s="34">
        <v>0</v>
      </c>
      <c r="E11" s="33">
        <v>253.42599999999999</v>
      </c>
      <c r="F11" s="35">
        <v>1.931</v>
      </c>
      <c r="G11" s="57">
        <v>50228.555</v>
      </c>
      <c r="H11" s="58">
        <v>5249.5690000000004</v>
      </c>
      <c r="I11" s="57">
        <v>51110.565999999999</v>
      </c>
      <c r="J11" s="58">
        <v>5278.7219999999998</v>
      </c>
      <c r="K11" s="36"/>
      <c r="L11" s="37"/>
      <c r="M11" s="38"/>
      <c r="N11" s="37"/>
      <c r="O11" s="46"/>
      <c r="P11" s="73"/>
      <c r="Q11" s="74"/>
      <c r="R11" s="73"/>
      <c r="S11" s="74"/>
      <c r="T11" s="39"/>
      <c r="U11" s="40"/>
      <c r="V11" s="41"/>
      <c r="W11" s="40"/>
      <c r="X11" s="48"/>
      <c r="Y11" s="78"/>
      <c r="Z11" s="79"/>
      <c r="AA11" s="78"/>
      <c r="AB11" s="79"/>
      <c r="AC11" s="42"/>
      <c r="AD11" s="43"/>
      <c r="AE11" s="44"/>
      <c r="AF11" s="43"/>
      <c r="AG11" s="50"/>
      <c r="AH11" s="80"/>
      <c r="AI11" s="81"/>
      <c r="AJ11" s="80"/>
      <c r="AK11" s="81"/>
    </row>
    <row r="12" spans="1:37" x14ac:dyDescent="0.3">
      <c r="A12" t="s">
        <v>20</v>
      </c>
      <c r="B12" s="14">
        <v>19.355</v>
      </c>
      <c r="C12" s="21">
        <v>10.993</v>
      </c>
      <c r="D12" s="15">
        <v>0</v>
      </c>
      <c r="E12" s="29">
        <v>62.048999999999999</v>
      </c>
      <c r="F12" s="30">
        <v>2.25</v>
      </c>
      <c r="G12" s="55">
        <v>47767.491999999998</v>
      </c>
      <c r="H12" s="56">
        <v>5075.5730000000003</v>
      </c>
      <c r="I12" s="55">
        <v>53290.445</v>
      </c>
      <c r="J12" s="56">
        <v>5212.5460000000003</v>
      </c>
      <c r="K12" s="23"/>
      <c r="L12" s="24"/>
      <c r="M12" s="16"/>
      <c r="N12" s="24"/>
      <c r="O12" s="45"/>
      <c r="P12" s="61"/>
      <c r="Q12" s="62"/>
      <c r="R12" s="61"/>
      <c r="S12" s="62"/>
      <c r="T12" s="17"/>
      <c r="U12" s="26"/>
      <c r="V12" s="18"/>
      <c r="W12" s="26"/>
      <c r="X12" s="47"/>
      <c r="Y12" s="65"/>
      <c r="Z12" s="66"/>
      <c r="AA12" s="65"/>
      <c r="AB12" s="66"/>
      <c r="AC12" s="19"/>
      <c r="AD12" s="28"/>
      <c r="AE12" s="20"/>
      <c r="AF12" s="28"/>
      <c r="AG12" s="49"/>
      <c r="AH12" s="71"/>
      <c r="AI12" s="72"/>
      <c r="AJ12" s="71"/>
      <c r="AK12" s="72"/>
    </row>
    <row r="13" spans="1:37" x14ac:dyDescent="0.3">
      <c r="A13" t="s">
        <v>21</v>
      </c>
      <c r="B13" s="14">
        <v>13.157999999999999</v>
      </c>
      <c r="C13" s="21">
        <v>5.2089999999999996</v>
      </c>
      <c r="D13" s="15">
        <v>0</v>
      </c>
      <c r="E13" s="29">
        <v>125.39</v>
      </c>
      <c r="F13" s="30">
        <v>7.5419999999999998</v>
      </c>
      <c r="G13" s="55">
        <v>48843.688000000002</v>
      </c>
      <c r="H13" s="56">
        <v>5123.5519999999997</v>
      </c>
      <c r="I13" s="55">
        <v>53534.042999999998</v>
      </c>
      <c r="J13" s="56">
        <v>5204.9129999999996</v>
      </c>
      <c r="K13" s="23"/>
      <c r="L13" s="24"/>
      <c r="M13" s="16"/>
      <c r="N13" s="24"/>
      <c r="O13" s="45"/>
      <c r="P13" s="61"/>
      <c r="Q13" s="62"/>
      <c r="R13" s="61"/>
      <c r="S13" s="62"/>
      <c r="T13" s="17"/>
      <c r="U13" s="26"/>
      <c r="V13" s="18"/>
      <c r="W13" s="26"/>
      <c r="X13" s="47"/>
      <c r="Y13" s="65"/>
      <c r="Z13" s="66"/>
      <c r="AA13" s="65"/>
      <c r="AB13" s="66"/>
      <c r="AC13" s="19"/>
      <c r="AD13" s="28"/>
      <c r="AE13" s="20"/>
      <c r="AF13" s="28"/>
      <c r="AG13" s="49"/>
      <c r="AH13" s="71"/>
      <c r="AI13" s="72"/>
      <c r="AJ13" s="71"/>
      <c r="AK13" s="72"/>
    </row>
    <row r="14" spans="1:37" s="31" customFormat="1" x14ac:dyDescent="0.3">
      <c r="A14" s="31" t="s">
        <v>22</v>
      </c>
      <c r="B14" s="32">
        <v>3.1949999999999998</v>
      </c>
      <c r="C14" s="33">
        <v>0</v>
      </c>
      <c r="D14" s="34">
        <v>0</v>
      </c>
      <c r="E14" s="33">
        <v>145.48099999999999</v>
      </c>
      <c r="F14" s="35">
        <v>10.125999999999999</v>
      </c>
      <c r="G14" s="57">
        <v>49891.016000000003</v>
      </c>
      <c r="H14" s="58">
        <v>5186.6040000000003</v>
      </c>
      <c r="I14" s="57">
        <v>51180.555</v>
      </c>
      <c r="J14" s="58">
        <v>5223.9309999999996</v>
      </c>
      <c r="K14" s="36"/>
      <c r="L14" s="37"/>
      <c r="M14" s="38"/>
      <c r="N14" s="37"/>
      <c r="O14" s="46"/>
      <c r="P14" s="73"/>
      <c r="Q14" s="74"/>
      <c r="R14" s="73"/>
      <c r="S14" s="74"/>
      <c r="T14" s="39"/>
      <c r="U14" s="40"/>
      <c r="V14" s="41"/>
      <c r="W14" s="40"/>
      <c r="X14" s="48"/>
      <c r="Y14" s="78"/>
      <c r="Z14" s="79"/>
      <c r="AA14" s="78"/>
      <c r="AB14" s="79"/>
      <c r="AC14" s="42"/>
      <c r="AD14" s="43"/>
      <c r="AE14" s="44"/>
      <c r="AF14" s="43"/>
      <c r="AG14" s="50"/>
      <c r="AH14" s="80"/>
      <c r="AI14" s="81"/>
      <c r="AJ14" s="80"/>
      <c r="AK14" s="81"/>
    </row>
    <row r="15" spans="1:37" x14ac:dyDescent="0.3">
      <c r="A15" t="s">
        <v>10</v>
      </c>
      <c r="B15" s="14"/>
      <c r="C15" s="21"/>
      <c r="D15" s="15">
        <v>8.26</v>
      </c>
      <c r="E15" s="29">
        <v>120.351</v>
      </c>
      <c r="F15" s="30">
        <v>3.5419999999999998</v>
      </c>
      <c r="G15" s="55">
        <v>48108.737999999998</v>
      </c>
      <c r="H15" s="56">
        <v>5082.43</v>
      </c>
      <c r="I15" s="55">
        <v>49487.714999999997</v>
      </c>
      <c r="J15" s="56">
        <v>5123.9139999999998</v>
      </c>
      <c r="K15" s="23"/>
      <c r="L15" s="24"/>
      <c r="M15" s="16"/>
      <c r="N15" s="24"/>
      <c r="O15" s="45"/>
      <c r="P15" s="61"/>
      <c r="Q15" s="62"/>
      <c r="R15" s="61"/>
      <c r="S15" s="62"/>
      <c r="T15" s="17"/>
      <c r="U15" s="26"/>
      <c r="V15" s="18"/>
      <c r="W15" s="26"/>
      <c r="X15" s="47"/>
      <c r="Y15" s="65"/>
      <c r="Z15" s="66"/>
      <c r="AA15" s="65"/>
      <c r="AB15" s="66"/>
      <c r="AC15" s="19"/>
      <c r="AD15" s="28"/>
      <c r="AE15" s="20"/>
      <c r="AF15" s="28"/>
      <c r="AG15" s="49"/>
      <c r="AH15" s="71"/>
      <c r="AI15" s="72"/>
      <c r="AJ15" s="71"/>
      <c r="AK15" s="72"/>
    </row>
    <row r="16" spans="1:37" x14ac:dyDescent="0.3">
      <c r="A16" t="s">
        <v>11</v>
      </c>
      <c r="B16" s="14"/>
      <c r="C16" s="21"/>
      <c r="D16" s="15">
        <v>13.34</v>
      </c>
      <c r="E16" s="29">
        <v>0</v>
      </c>
      <c r="F16" s="30">
        <v>0</v>
      </c>
      <c r="G16" s="55">
        <v>47235.504000000001</v>
      </c>
      <c r="H16" s="56">
        <v>5013.4250000000002</v>
      </c>
      <c r="I16" s="55">
        <v>49487.574000000001</v>
      </c>
      <c r="J16" s="56">
        <v>5084.0630000000001</v>
      </c>
      <c r="K16" s="23"/>
      <c r="L16" s="24"/>
      <c r="M16" s="16"/>
      <c r="N16" s="24"/>
      <c r="O16" s="45"/>
      <c r="P16" s="61"/>
      <c r="Q16" s="62"/>
      <c r="R16" s="61"/>
      <c r="S16" s="62"/>
      <c r="T16" s="17"/>
      <c r="U16" s="26"/>
      <c r="V16" s="18"/>
      <c r="W16" s="26"/>
      <c r="X16" s="47"/>
      <c r="Y16" s="65"/>
      <c r="Z16" s="66"/>
      <c r="AA16" s="65"/>
      <c r="AB16" s="66"/>
      <c r="AC16" s="19"/>
      <c r="AD16" s="28"/>
      <c r="AE16" s="20"/>
      <c r="AF16" s="28"/>
      <c r="AG16" s="49"/>
      <c r="AH16" s="71"/>
      <c r="AI16" s="72"/>
      <c r="AJ16" s="71"/>
      <c r="AK16" s="72"/>
    </row>
    <row r="17" spans="1:37" x14ac:dyDescent="0.3">
      <c r="A17" t="s">
        <v>23</v>
      </c>
      <c r="B17" s="14">
        <v>15.455</v>
      </c>
      <c r="C17" s="21">
        <v>6.1180000000000003</v>
      </c>
      <c r="D17" s="15">
        <v>0</v>
      </c>
      <c r="E17" s="29">
        <v>0</v>
      </c>
      <c r="F17" s="30">
        <v>0</v>
      </c>
      <c r="G17" s="55">
        <v>46481.690999999999</v>
      </c>
      <c r="H17" s="56">
        <v>4958.973</v>
      </c>
      <c r="I17" s="55">
        <v>52750.968999999997</v>
      </c>
      <c r="J17" s="56">
        <v>5086.5039999999999</v>
      </c>
      <c r="K17" s="23"/>
      <c r="L17" s="24"/>
      <c r="M17" s="16"/>
      <c r="N17" s="24"/>
      <c r="O17" s="45"/>
      <c r="P17" s="61"/>
      <c r="Q17" s="62"/>
      <c r="R17" s="61"/>
      <c r="S17" s="62"/>
      <c r="T17" s="17"/>
      <c r="U17" s="26"/>
      <c r="V17" s="18"/>
      <c r="W17" s="26"/>
      <c r="X17" s="47"/>
      <c r="Y17" s="65"/>
      <c r="Z17" s="66"/>
      <c r="AA17" s="65"/>
      <c r="AB17" s="66"/>
      <c r="AC17" s="19"/>
      <c r="AD17" s="28"/>
      <c r="AE17" s="20"/>
      <c r="AF17" s="28"/>
      <c r="AG17" s="49"/>
      <c r="AH17" s="71"/>
      <c r="AI17" s="72"/>
      <c r="AJ17" s="71"/>
      <c r="AK17" s="72"/>
    </row>
    <row r="18" spans="1:37" s="31" customFormat="1" x14ac:dyDescent="0.3">
      <c r="A18" s="31" t="s">
        <v>24</v>
      </c>
      <c r="B18" s="32">
        <v>2.0489999999999999</v>
      </c>
      <c r="C18" s="33">
        <v>0</v>
      </c>
      <c r="D18" s="34">
        <v>0</v>
      </c>
      <c r="E18" s="33">
        <v>0</v>
      </c>
      <c r="F18" s="35">
        <v>0</v>
      </c>
      <c r="G18" s="57">
        <v>47562.141000000003</v>
      </c>
      <c r="H18" s="58">
        <v>5008.058</v>
      </c>
      <c r="I18" s="57">
        <v>49627.550999999999</v>
      </c>
      <c r="J18" s="58">
        <v>5068.1099999999997</v>
      </c>
      <c r="K18" s="36"/>
      <c r="L18" s="37"/>
      <c r="M18" s="38"/>
      <c r="N18" s="37"/>
      <c r="O18" s="46"/>
      <c r="P18" s="73"/>
      <c r="Q18" s="74"/>
      <c r="R18" s="73"/>
      <c r="S18" s="74"/>
      <c r="T18" s="39"/>
      <c r="U18" s="40"/>
      <c r="V18" s="41"/>
      <c r="W18" s="40"/>
      <c r="X18" s="48"/>
      <c r="Y18" s="78"/>
      <c r="Z18" s="79"/>
      <c r="AA18" s="78"/>
      <c r="AB18" s="79"/>
      <c r="AC18" s="42"/>
      <c r="AD18" s="43"/>
      <c r="AE18" s="44"/>
      <c r="AF18" s="43"/>
      <c r="AG18" s="50"/>
      <c r="AH18" s="80"/>
      <c r="AI18" s="81"/>
      <c r="AJ18" s="80"/>
      <c r="AK18" s="81"/>
    </row>
    <row r="19" spans="1:37" x14ac:dyDescent="0.3">
      <c r="A19" t="s">
        <v>25</v>
      </c>
      <c r="B19" s="14">
        <v>12.558999999999999</v>
      </c>
      <c r="C19" s="21">
        <v>5.375</v>
      </c>
      <c r="D19" s="15">
        <v>0</v>
      </c>
      <c r="E19" s="29">
        <v>0</v>
      </c>
      <c r="F19" s="30">
        <v>0</v>
      </c>
      <c r="G19" s="55">
        <v>46867.781000000003</v>
      </c>
      <c r="H19" s="56">
        <v>4971.8999999999996</v>
      </c>
      <c r="I19" s="55">
        <v>52318.214999999997</v>
      </c>
      <c r="J19" s="56">
        <v>5092.6949999999997</v>
      </c>
      <c r="K19" s="23"/>
      <c r="L19" s="24"/>
      <c r="M19" s="16"/>
      <c r="N19" s="24"/>
      <c r="O19" s="45"/>
      <c r="P19" s="61"/>
      <c r="Q19" s="62"/>
      <c r="R19" s="61"/>
      <c r="S19" s="62"/>
      <c r="T19" s="17"/>
      <c r="U19" s="26"/>
      <c r="V19" s="18"/>
      <c r="W19" s="26"/>
      <c r="X19" s="47"/>
      <c r="Y19" s="65"/>
      <c r="Z19" s="66"/>
      <c r="AA19" s="65"/>
      <c r="AB19" s="66"/>
      <c r="AC19" s="19"/>
      <c r="AD19" s="28"/>
      <c r="AE19" s="20"/>
      <c r="AF19" s="28"/>
      <c r="AG19" s="49"/>
      <c r="AH19" s="71"/>
      <c r="AI19" s="72"/>
      <c r="AJ19" s="71"/>
      <c r="AK19" s="72"/>
    </row>
    <row r="20" spans="1:37" s="31" customFormat="1" x14ac:dyDescent="0.3">
      <c r="A20" s="31" t="s">
        <v>26</v>
      </c>
      <c r="B20" s="32">
        <v>0.88800000000000001</v>
      </c>
      <c r="C20" s="33">
        <v>0</v>
      </c>
      <c r="D20" s="34">
        <v>0</v>
      </c>
      <c r="E20" s="33">
        <v>100.48699999999999</v>
      </c>
      <c r="F20" s="35">
        <v>0.315</v>
      </c>
      <c r="G20" s="57">
        <v>48050.457000000002</v>
      </c>
      <c r="H20" s="58">
        <v>5038.509</v>
      </c>
      <c r="I20" s="57">
        <v>50137.086000000003</v>
      </c>
      <c r="J20" s="58">
        <v>5099.1459999999997</v>
      </c>
      <c r="K20" s="36"/>
      <c r="L20" s="37"/>
      <c r="M20" s="38"/>
      <c r="N20" s="37"/>
      <c r="O20" s="46"/>
      <c r="P20" s="73"/>
      <c r="Q20" s="74"/>
      <c r="R20" s="73"/>
      <c r="S20" s="74"/>
      <c r="T20" s="39"/>
      <c r="U20" s="40"/>
      <c r="V20" s="41"/>
      <c r="W20" s="40"/>
      <c r="X20" s="48"/>
      <c r="Y20" s="78"/>
      <c r="Z20" s="79"/>
      <c r="AA20" s="78"/>
      <c r="AB20" s="79"/>
      <c r="AC20" s="42"/>
      <c r="AD20" s="43"/>
      <c r="AE20" s="44"/>
      <c r="AF20" s="43"/>
      <c r="AG20" s="50"/>
      <c r="AH20" s="80"/>
      <c r="AI20" s="81"/>
      <c r="AJ20" s="80"/>
      <c r="AK20" s="81"/>
    </row>
    <row r="21" spans="1:37" x14ac:dyDescent="0.3">
      <c r="A21" t="s">
        <v>27</v>
      </c>
      <c r="B21" s="14">
        <v>7.3179999999999996</v>
      </c>
      <c r="C21" s="21">
        <v>2.6920000000000002</v>
      </c>
      <c r="D21" s="15">
        <v>0</v>
      </c>
      <c r="E21" s="29">
        <v>38</v>
      </c>
      <c r="F21" s="30">
        <v>0.39</v>
      </c>
      <c r="G21" s="55">
        <v>46414.671999999999</v>
      </c>
      <c r="H21" s="56">
        <v>4928.7790000000005</v>
      </c>
      <c r="I21" s="55">
        <v>51053.538999999997</v>
      </c>
      <c r="J21" s="56">
        <v>5063.2709999999997</v>
      </c>
      <c r="K21" s="23"/>
      <c r="L21" s="24"/>
      <c r="M21" s="16"/>
      <c r="N21" s="24"/>
      <c r="O21" s="45"/>
      <c r="P21" s="61"/>
      <c r="Q21" s="62"/>
      <c r="R21" s="61"/>
      <c r="S21" s="62"/>
      <c r="T21" s="17"/>
      <c r="U21" s="26"/>
      <c r="V21" s="18"/>
      <c r="W21" s="26"/>
      <c r="X21" s="47"/>
      <c r="Y21" s="65"/>
      <c r="Z21" s="66"/>
      <c r="AA21" s="65"/>
      <c r="AB21" s="66"/>
      <c r="AC21" s="19"/>
      <c r="AD21" s="28"/>
      <c r="AE21" s="20"/>
      <c r="AF21" s="28"/>
      <c r="AG21" s="49"/>
      <c r="AH21" s="71"/>
      <c r="AI21" s="72"/>
      <c r="AJ21" s="71"/>
      <c r="AK21" s="72"/>
    </row>
    <row r="22" spans="1:37" x14ac:dyDescent="0.3">
      <c r="A22" t="s">
        <v>28</v>
      </c>
      <c r="B22" s="14">
        <v>16.623999999999999</v>
      </c>
      <c r="C22" s="21">
        <v>6.7590000000000003</v>
      </c>
      <c r="D22" s="15">
        <v>0</v>
      </c>
      <c r="E22" s="29">
        <v>221.79400000000001</v>
      </c>
      <c r="F22" s="30">
        <v>4.3230000000000004</v>
      </c>
      <c r="G22" s="55">
        <v>46257.218999999997</v>
      </c>
      <c r="H22" s="56">
        <v>4923.5209999999997</v>
      </c>
      <c r="I22" s="55">
        <v>53067.097999999998</v>
      </c>
      <c r="J22" s="56">
        <v>5057.2659999999996</v>
      </c>
      <c r="K22" s="23"/>
      <c r="L22" s="24"/>
      <c r="M22" s="16"/>
      <c r="N22" s="24"/>
      <c r="O22" s="45"/>
      <c r="P22" s="61"/>
      <c r="Q22" s="62"/>
      <c r="R22" s="61"/>
      <c r="S22" s="62"/>
      <c r="T22" s="17"/>
      <c r="U22" s="26"/>
      <c r="V22" s="18"/>
      <c r="W22" s="26"/>
      <c r="X22" s="47"/>
      <c r="Y22" s="65"/>
      <c r="Z22" s="66"/>
      <c r="AA22" s="65"/>
      <c r="AB22" s="66"/>
      <c r="AC22" s="19"/>
      <c r="AD22" s="28"/>
      <c r="AE22" s="20"/>
      <c r="AF22" s="28"/>
      <c r="AG22" s="49"/>
      <c r="AH22" s="71"/>
      <c r="AI22" s="72"/>
      <c r="AJ22" s="71"/>
      <c r="AK22" s="72"/>
    </row>
    <row r="23" spans="1:37" x14ac:dyDescent="0.3">
      <c r="B23" s="83">
        <f>SUM(B4:B22)</f>
        <v>157.81400000000002</v>
      </c>
      <c r="C23" s="83">
        <f t="shared" ref="C23:D23" si="0">SUM(C4:C22)</f>
        <v>58.207999999999998</v>
      </c>
      <c r="D23" s="83">
        <f t="shared" si="0"/>
        <v>21.6</v>
      </c>
      <c r="E23" s="83">
        <f t="shared" ref="E23:F23" si="1">SUM(E4:E22)</f>
        <v>1455.7550000000001</v>
      </c>
      <c r="F23" s="83">
        <f t="shared" si="1"/>
        <v>36.373999999999995</v>
      </c>
      <c r="G23" s="84">
        <f>G22-G3</f>
        <v>-3801.7810000000027</v>
      </c>
      <c r="H23" s="84">
        <f t="shared" ref="H23:J23" si="2">H22-H3</f>
        <v>-367.47900000000027</v>
      </c>
      <c r="I23" s="84">
        <f t="shared" si="2"/>
        <v>3008.0979999999981</v>
      </c>
      <c r="J23" s="84">
        <f t="shared" si="2"/>
        <v>-233.73400000000038</v>
      </c>
      <c r="K23" s="54">
        <f>SUM(K4:K22)</f>
        <v>0</v>
      </c>
      <c r="L23" s="54">
        <f>SUM(L4:L22)</f>
        <v>0</v>
      </c>
      <c r="M23" s="83">
        <f>SUM(M4:M22)</f>
        <v>0</v>
      </c>
      <c r="N23" s="53">
        <f>SUM(N4:N22)</f>
        <v>0</v>
      </c>
      <c r="O23" s="54">
        <f>SUM(O4:O22)</f>
        <v>0</v>
      </c>
      <c r="P23" s="75">
        <f>P22-P3</f>
        <v>-50059</v>
      </c>
      <c r="Q23" s="76">
        <f t="shared" ref="Q23" si="3">Q22-Q3</f>
        <v>-5291</v>
      </c>
      <c r="R23" s="75">
        <f t="shared" ref="R23" si="4">R22-R3</f>
        <v>-50059</v>
      </c>
      <c r="S23" s="76">
        <f t="shared" ref="S23" si="5">S22-S3</f>
        <v>-5291</v>
      </c>
      <c r="T23" s="53">
        <f>SUM(T4:T22)</f>
        <v>0</v>
      </c>
      <c r="U23" s="53">
        <f>SUM(U4:U22)</f>
        <v>0</v>
      </c>
      <c r="V23" s="83">
        <f>SUM(V4:V22)</f>
        <v>0</v>
      </c>
      <c r="W23" s="53">
        <f>SUM(W4:W22)</f>
        <v>0</v>
      </c>
      <c r="X23" s="53">
        <f>SUM(X4:X22)</f>
        <v>0</v>
      </c>
      <c r="Y23" s="77">
        <f>Y22-Y3</f>
        <v>-50059</v>
      </c>
      <c r="Z23" s="77">
        <f t="shared" ref="Z23" si="6">Z22-Z3</f>
        <v>-5291</v>
      </c>
      <c r="AA23" s="77">
        <f t="shared" ref="AA23" si="7">AA22-AA3</f>
        <v>-50059</v>
      </c>
      <c r="AB23" s="77">
        <f t="shared" ref="AB23" si="8">AB22-AB3</f>
        <v>-5291</v>
      </c>
      <c r="AC23" s="53">
        <f>SUM(AC4:AC22)</f>
        <v>0</v>
      </c>
      <c r="AD23" s="53">
        <f>SUM(AD4:AD22)</f>
        <v>0</v>
      </c>
      <c r="AE23" s="85">
        <f>SUM(AE4:AE22)</f>
        <v>0</v>
      </c>
      <c r="AF23" s="54">
        <f>SUM(AF4:AF22)</f>
        <v>0</v>
      </c>
      <c r="AG23" s="54">
        <f>SUM(AG4:AG22)</f>
        <v>0</v>
      </c>
      <c r="AH23" s="82">
        <f>AH22-AH3</f>
        <v>-50059</v>
      </c>
      <c r="AI23" s="82">
        <f t="shared" ref="AI23" si="9">AI22-AI3</f>
        <v>-5291</v>
      </c>
      <c r="AJ23" s="82">
        <f t="shared" ref="AJ23" si="10">AJ22-AJ3</f>
        <v>-50059</v>
      </c>
      <c r="AK23" s="82">
        <f t="shared" ref="AK23" si="11">AK22-AK3</f>
        <v>-5291</v>
      </c>
    </row>
    <row r="24" spans="1:37" x14ac:dyDescent="0.3">
      <c r="U24" s="1"/>
      <c r="V24" s="1"/>
    </row>
    <row r="26" spans="1:37" x14ac:dyDescent="0.3">
      <c r="A26" s="52" t="s">
        <v>31</v>
      </c>
    </row>
    <row r="27" spans="1:37" x14ac:dyDescent="0.3">
      <c r="A27" s="51" t="s">
        <v>32</v>
      </c>
    </row>
  </sheetData>
  <mergeCells count="4">
    <mergeCell ref="B1:J1"/>
    <mergeCell ref="K1:S1"/>
    <mergeCell ref="T1:AB1"/>
    <mergeCell ref="AC1:AK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biomass and 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inra</dc:creator>
  <dc:description/>
  <cp:lastModifiedBy>Loïc Strullu</cp:lastModifiedBy>
  <cp:revision>11</cp:revision>
  <dcterms:created xsi:type="dcterms:W3CDTF">2019-01-28T10:09:50Z</dcterms:created>
  <dcterms:modified xsi:type="dcterms:W3CDTF">2024-03-19T09:19:23Z</dcterms:modified>
  <dc:language>fr-FR</dc:language>
</cp:coreProperties>
</file>