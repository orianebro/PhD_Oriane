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CS_training\DAY4\Practical_Works\Practical_Work_3_students\"/>
    </mc:Choice>
  </mc:AlternateContent>
  <xr:revisionPtr revIDLastSave="0" documentId="13_ncr:1_{96674DA2-F748-49DC-A2DD-BFB97A3AF000}" xr6:coauthVersionLast="36" xr6:coauthVersionMax="47" xr10:uidLastSave="{00000000-0000-0000-0000-000000000000}"/>
  <bookViews>
    <workbookView xWindow="-108" yWindow="-108" windowWidth="23256" windowHeight="12576" tabRatio="500" activeTab="3" xr2:uid="{00000000-000D-0000-FFFF-FFFF00000000}"/>
  </bookViews>
  <sheets>
    <sheet name="USMs" sheetId="9" r:id="rId1"/>
    <sheet name="Ini" sheetId="2" r:id="rId2"/>
    <sheet name="Soils" sheetId="3" r:id="rId3"/>
    <sheet name="Tec" sheetId="5" r:id="rId4"/>
    <sheet name="Station" sheetId="6" r:id="rId5"/>
    <sheet name="Obs" sheetId="8" r:id="rId6"/>
  </sheets>
  <definedNames>
    <definedName name="_xlnm._FilterDatabase" localSheetId="1" hidden="1">Ini!$C$1:$C$6</definedName>
    <definedName name="_xlnm._FilterDatabase" localSheetId="5" hidden="1">Obs!#REF!</definedName>
    <definedName name="_xlnm._FilterDatabase" localSheetId="2" hidden="1">Soils!$A$1:$A$1</definedName>
    <definedName name="_xlnm._FilterDatabase" localSheetId="4" hidden="1">Station!$A$1:$A$6</definedName>
    <definedName name="_xlnm._FilterDatabase" localSheetId="3" hidden="1">Tec!$A$1:$BR$3</definedName>
  </definedNames>
  <calcPr calcId="191029"/>
</workbook>
</file>

<file path=xl/calcChain.xml><?xml version="1.0" encoding="utf-8"?>
<calcChain xmlns="http://schemas.openxmlformats.org/spreadsheetml/2006/main">
  <c r="C12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Florent</author>
    <author>Florent C.</author>
  </authors>
  <commentList>
    <comment ref="B1" authorId="0" shapeId="0" xr:uid="{4293899F-2929-4F33-BF08-84241F66A0F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the beginning simulation (julian day) (from 1 to 731)</t>
        </r>
      </text>
    </comment>
    <comment ref="C1" authorId="0" shapeId="0" xr:uid="{05C1B3FC-2AEA-41CE-A25E-BDE0646C509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the end of the simulation (julian day) (from 1 to 731)</t>
        </r>
      </text>
    </comment>
    <comment ref="D1" authorId="0" shapeId="0" xr:uid="{1F92385C-AF75-40FF-BF64-0957CDC7BF7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***_ini.xml file</t>
        </r>
      </text>
    </comment>
    <comment ref="E1" authorId="1" shapeId="0" xr:uid="{E42BA573-100E-4D85-9DB3-5C0B86E9B35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name of the soil</t>
        </r>
      </text>
    </comment>
    <comment ref="F1" authorId="0" shapeId="0" xr:uid="{0C3D9B38-3E97-419D-A7D4-F48105A9185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***_sta.xml file</t>
        </r>
      </text>
    </comment>
    <comment ref="I1" authorId="1" shapeId="0" xr:uid="{F5F9D60C-CE9F-4312-B846-A124BCB12B0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calendar years involved in the crop cycle 
1 = 1 year e.g. for spring crops, 
2 = two years, e.g. for winter crops</t>
        </r>
      </text>
    </comment>
    <comment ref="J1" authorId="1" shapeId="0" xr:uid="{7883974D-9E42-48CE-B3D7-E49A4012D37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simulated plants</t>
        </r>
      </text>
    </comment>
    <comment ref="K1" authorId="1" shapeId="0" xr:uid="{468E7525-6176-4652-8328-61D3E6A8381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simulation code: culture or feuille (forced LAI)</t>
        </r>
      </text>
    </comment>
    <comment ref="L1" authorId="0" shapeId="0" xr:uid="{14E0057C-B22E-4260-9A51-D7772B5D01F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***_plt.xml file (1st crop)</t>
        </r>
      </text>
    </comment>
    <comment ref="M1" authorId="0" shapeId="0" xr:uid="{D1387F43-97FD-4FAF-BACC-5738A2A1F24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***_ini.xml file (1st crop)</t>
        </r>
      </text>
    </comment>
    <comment ref="N1" authorId="0" shapeId="0" xr:uid="{ACC3C952-9FDF-4A21-B566-ED0EDBD935D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***.lai file (1st crop)</t>
        </r>
      </text>
    </comment>
    <comment ref="O1" authorId="0" shapeId="0" xr:uid="{4110F7DB-6C21-485F-9856-44A8AAF3E33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***.lai file (1st crop)</t>
        </r>
      </text>
    </comment>
    <comment ref="P1" authorId="0" shapeId="0" xr:uid="{10FFF9C3-7CEB-4CD0-8E2B-1BCC928DA1D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***_plt.xml file (2nd crop)</t>
        </r>
      </text>
    </comment>
    <comment ref="Q1" authorId="0" shapeId="0" xr:uid="{329CA162-1686-451A-A15D-E0C29D32149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***_tec.xml file (2nd crop)</t>
        </r>
      </text>
    </comment>
    <comment ref="R1" authorId="0" shapeId="0" xr:uid="{FEDD273B-266E-4F7E-B1F6-8EF2241C5D2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***.lai file (2nd crop)</t>
        </r>
      </text>
    </comment>
    <comment ref="S1" authorId="0" shapeId="0" xr:uid="{0E2298BD-934E-48AC-A249-7AF5A93215F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Full name of the corresponding ***.lai file (2nd crop)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Florent</author>
    <author>Ferchaud</author>
  </authors>
  <commentList>
    <comment ref="C1" authorId="0" shapeId="0" xr:uid="{C46B04AC-84BF-4E62-88C6-EF7A88782F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crop stage at the beginning of simulation (1st crop):
snu
plt
lev
amf
lax
drp
sen
dor</t>
        </r>
      </text>
    </comment>
    <comment ref="D1" authorId="0" shapeId="0" xr:uid="{58B15BB3-7C5E-4AB8-9713-ADD1736BC77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leaf area index (1st crop) (m².m-²)</t>
        </r>
      </text>
    </comment>
    <comment ref="E1" authorId="0" shapeId="0" xr:uid="{0A6C2A81-97AE-49D8-8349-A87E645D08D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zrac0 (initial depth of root apex of the crop) (cm) (1st crop)</t>
        </r>
      </text>
    </comment>
    <comment ref="F1" authorId="0" shapeId="0" xr:uid="{1A6B97D7-D301-466B-9A06-8BCC003201A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grain dry weight (g.m-2) (1st crop)</t>
        </r>
      </text>
    </comment>
    <comment ref="G1" authorId="1" shapeId="0" xr:uid="{14B96D87-B3FD-4595-AB50-06104C3C9D8D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Simulation of Nitrogen and Carbon reserves
1 = yes
2 = no</t>
        </r>
      </text>
    </comment>
    <comment ref="H1" authorId="1" shapeId="0" xr:uid="{941F1108-2332-4A60-B6BE-067D018A3991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1</t>
        </r>
      </text>
    </comment>
    <comment ref="I1" authorId="1" shapeId="0" xr:uid="{47CC98EF-ADF5-4976-92F9-568507C562AF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1</t>
        </r>
      </text>
    </comment>
    <comment ref="J1" authorId="1" shapeId="0" xr:uid="{55AA2496-DF8D-4379-9EE4-3F7876B4CEED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1</t>
        </r>
      </text>
    </comment>
    <comment ref="K1" authorId="1" shapeId="0" xr:uid="{071D966C-2A82-41D1-AEC5-C6B0F8D14517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1</t>
        </r>
      </text>
    </comment>
    <comment ref="L1" authorId="1" shapeId="0" xr:uid="{B56AAF18-0042-47AA-8708-4AA06C60B470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2</t>
        </r>
      </text>
    </comment>
    <comment ref="M1" authorId="1" shapeId="0" xr:uid="{AD785EBC-EE07-48EC-8F4D-6EF02A098C67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2</t>
        </r>
      </text>
    </comment>
    <comment ref="N1" authorId="1" shapeId="0" xr:uid="{DBBF1605-B97F-478D-ADF6-2BEE38E14F36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code_acti_reserve_Crop1 = 2</t>
        </r>
      </text>
    </comment>
    <comment ref="O1" authorId="0" shapeId="0" xr:uid="{0CE045B6-3A06-4498-A8A3-253290E6734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root density in the first soil layers (cm.cm-3) (1st crop)</t>
        </r>
      </text>
    </comment>
    <comment ref="T1" authorId="0" shapeId="0" xr:uid="{CBF129EA-2A20-4B8C-B6DE-6027CE7FBF4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gravimetric water content of the first soil layer (/fine earth) (% w)</t>
        </r>
      </text>
    </comment>
    <comment ref="Y1" authorId="0" shapeId="0" xr:uid="{EBC3B809-5891-486B-879E-6C6B9142515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amount of NO3-N in the frist soil layer (/fine earth) (kg.ha-1)</t>
        </r>
      </text>
    </comment>
    <comment ref="AD1" authorId="0" shapeId="0" xr:uid="{0D0321ED-E7E9-438E-A718-66DAC96BE050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initial amount of NH4-N of the first soil layer (/fine earth) (kg.ha-1)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constantin</author>
    <author>Windows User</author>
    <author>Ferchaud</author>
    <author>Florent</author>
  </authors>
  <commentList>
    <comment ref="B1" authorId="0" shapeId="0" xr:uid="{530B346D-B03A-4D3B-B7CE-33713C01B5D9}">
      <text>
        <r>
          <rPr>
            <b/>
            <sz val="9"/>
            <color indexed="81"/>
            <rFont val="Tahoma"/>
            <family val="2"/>
          </rPr>
          <t>Florent C. :</t>
        </r>
        <r>
          <rPr>
            <sz val="9"/>
            <color indexed="81"/>
            <rFont val="Tahoma"/>
            <family val="2"/>
          </rPr>
          <t xml:space="preserve">
Clay content after decarbonation (%)</t>
        </r>
      </text>
    </comment>
    <comment ref="C1" authorId="0" shapeId="0" xr:uid="{274629B6-D8D2-44A9-929A-E469F7B474B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organic N content in the first soil layer (supposed constant down to the depth profhum), equal tot total nitrogen (Kjeldhal method) (% dry soil)
</t>
        </r>
      </text>
    </comment>
    <comment ref="D1" authorId="1" shapeId="0" xr:uid="{8FE354A4-7E32-4024-A95D-7F6CE4131E57}">
      <text>
        <r>
          <rPr>
            <b/>
            <sz val="9"/>
            <color indexed="81"/>
            <rFont val="Tahoma"/>
            <family val="2"/>
          </rPr>
          <t>Florent C. :</t>
        </r>
        <r>
          <rPr>
            <sz val="9"/>
            <color indexed="81"/>
            <rFont val="Tahoma"/>
            <family val="2"/>
          </rPr>
          <t xml:space="preserve">
Maximum soil depth with active biological activity (cm) (max. 60 cm)</t>
        </r>
      </text>
    </comment>
    <comment ref="E1" authorId="0" shapeId="0" xr:uid="{7AFA9C2A-2442-4542-A53E-0FF6E6FCF61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Total carbonate content (%)</t>
        </r>
      </text>
    </comment>
    <comment ref="F1" authorId="1" shapeId="0" xr:uid="{2D0CA946-D360-4D01-8F6B-06EAE6B9F80E}">
      <text>
        <r>
          <rPr>
            <b/>
            <sz val="9"/>
            <color indexed="81"/>
            <rFont val="Tahoma"/>
            <family val="2"/>
          </rPr>
          <t xml:space="preserve">Florent C. :
</t>
        </r>
        <r>
          <rPr>
            <sz val="9"/>
            <color indexed="81"/>
            <rFont val="Tahoma"/>
            <family val="2"/>
          </rPr>
          <t>Initial soil pH (water solution)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1" shapeId="0" xr:uid="{391B664C-553E-4D35-847C-E32632001F26}">
      <text>
        <r>
          <rPr>
            <b/>
            <sz val="9"/>
            <color indexed="81"/>
            <rFont val="Tahoma"/>
            <family val="2"/>
          </rPr>
          <t>Florent C. :</t>
        </r>
        <r>
          <rPr>
            <sz val="9"/>
            <color indexed="81"/>
            <rFont val="Tahoma"/>
            <family val="2"/>
          </rPr>
          <t xml:space="preserve">
Minimum concentration of HNO3 in soil (kg/ha/mm)</t>
        </r>
      </text>
    </comment>
    <comment ref="H1" authorId="1" shapeId="0" xr:uid="{FC356F7C-4AB1-4460-A5D6-989374CAFBF4}">
      <text>
        <r>
          <rPr>
            <b/>
            <sz val="9"/>
            <color indexed="81"/>
            <rFont val="Tahoma"/>
            <family val="2"/>
          </rPr>
          <t>Florent C. :</t>
        </r>
        <r>
          <rPr>
            <sz val="9"/>
            <color indexed="81"/>
            <rFont val="Tahoma"/>
            <family val="2"/>
          </rPr>
          <t xml:space="preserve">
Albedo of the bare dry soil</t>
        </r>
      </text>
    </comment>
    <comment ref="I1" authorId="0" shapeId="0" xr:uid="{FF7F8DC5-3811-4DCB-A97B-078074F7B17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Cumulative soil evaporation above which evaporation rate is decreased (mm)</t>
        </r>
      </text>
    </comment>
    <comment ref="J1" authorId="1" shapeId="0" xr:uid="{2ABF9032-646F-40FF-8466-BFEA8DB873A7}">
      <text>
        <r>
          <rPr>
            <b/>
            <sz val="9"/>
            <color indexed="81"/>
            <rFont val="Tahoma"/>
            <family val="2"/>
          </rPr>
          <t>Florent C. :</t>
        </r>
        <r>
          <rPr>
            <sz val="9"/>
            <color indexed="81"/>
            <rFont val="Tahoma"/>
            <family val="2"/>
          </rPr>
          <t xml:space="preserve">
Function of runnoff (relative to total rainfall) in bare soil</t>
        </r>
      </text>
    </comment>
    <comment ref="K1" authorId="0" shapeId="0" xr:uid="{7C07E290-8212-4150-9C62-61E23B9EE8A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at which root growth is stopped due to physical constraints (cm)</t>
        </r>
      </text>
    </comment>
    <comment ref="L1" authorId="1" shapeId="0" xr:uid="{76199EBB-52BC-43D0-A821-192F931F810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amount of rain required to create a soil crust (mm/d)</t>
        </r>
      </text>
    </comment>
    <comment ref="M1" authorId="1" shapeId="0" xr:uid="{F69BD331-37C2-46EF-87B5-3131258A86F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Mulch depth from which a crust occurs</t>
        </r>
      </text>
    </comment>
    <comment ref="N1" authorId="1" shapeId="0" xr:uid="{DA2A0767-C659-4384-AF2D-1E240880086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Maximal soil depth affected by soil evaporation (cm)</t>
        </r>
      </text>
    </comment>
    <comment ref="O1" authorId="1" shapeId="0" xr:uid="{05BBF98D-180B-436B-8FB4-2049F089435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defining the soil contribution to evaporation versus depth</t>
        </r>
      </text>
    </comment>
    <comment ref="P1" authorId="1" shapeId="0" xr:uid="{C47AD40D-FA06-4666-B962-6740862ED33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Roughness length of bare soil (m)</t>
        </r>
      </text>
    </comment>
    <comment ref="Q1" authorId="1" shapeId="0" xr:uid="{D1DA5A56-4572-4365-B75E-0BB9AF7ED17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Initial soil C to N ratio of soil humus</t>
        </r>
      </text>
    </comment>
    <comment ref="R1" authorId="2" shapeId="0" xr:uid="{17934ED1-8640-436A-A3B6-22F15557A1EF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initial fraction of inert soil organic carbon</t>
        </r>
      </text>
    </comment>
    <comment ref="S1" authorId="1" shapeId="0" xr:uid="{B760091F-F8D1-4EB9-AA2A-38337F12F88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Runnoff coefficient taking account for plant mulch</t>
        </r>
      </text>
    </comment>
    <comment ref="T1" authorId="3" shapeId="0" xr:uid="{89E20A91-AC5E-47D9-A61E-1C173E68C10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take into account pebbles in the water and N balances (1 = yes, 2 = no, )</t>
        </r>
      </text>
    </comment>
    <comment ref="U1" authorId="3" shapeId="0" xr:uid="{32F44125-39D3-4800-B4CB-EF58C9AD95C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calculation of water flux in soil macroporosity (1 = yes, 2 = no)</t>
        </r>
      </text>
    </comment>
    <comment ref="V1" authorId="3" shapeId="0" xr:uid="{E28408FC-4163-4F3B-B343-BCAF32177D7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an additional water compartment for swelling soils (1 = yes, 2 = no)</t>
        </r>
      </text>
    </comment>
    <comment ref="W1" authorId="3" shapeId="0" xr:uid="{C303F581-653D-4815-87F6-B97E083C397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simulate artificial drainage (1 = yes, no = 2)</t>
        </r>
      </text>
    </comment>
    <comment ref="X1" authorId="3" shapeId="0" xr:uid="{0B7A9F48-6CFE-4A29-9178-5046AA6563E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Upper depth of the impermeable layer (from the soil surface). May be greater than the soil depth. (cm) </t>
        </r>
      </text>
    </comment>
    <comment ref="Y1" authorId="3" shapeId="0" xr:uid="{1441C252-0821-422D-8BFA-282DCD4B254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distance between mole drains (cm)</t>
        </r>
      </text>
    </comment>
    <comment ref="Z1" authorId="3" shapeId="0" xr:uid="{FDF1D3F0-17C6-41A1-A246-C1EDCC12F50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hydraulic conductivity in the vicinity of mole drains</t>
        </r>
      </text>
    </comment>
    <comment ref="AA1" authorId="3" shapeId="0" xr:uid="{4E4D3CC1-7108-48A2-A35E-3C5AA56CD47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depth of mole drains (cm)</t>
        </r>
      </text>
    </comment>
    <comment ref="AB1" authorId="3" shapeId="0" xr:uid="{0F9B939C-3C74-4534-8528-C2AA6C587E6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capillary rise (1 = yes, 2 = no)</t>
        </r>
      </text>
    </comment>
    <comment ref="AC1" authorId="3" shapeId="0" xr:uid="{A65EDFD2-5966-45AA-A607-5657CE95658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capillary rise upward water flux (mm.d-1)</t>
        </r>
      </text>
    </comment>
    <comment ref="AD1" authorId="3" shapeId="0" xr:uid="{9E087A6C-D593-4023-AA8D-8FAE47BF823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threshold of soil gravimetric water content under which capillary rise occurs (% w)</t>
        </r>
      </text>
    </comment>
    <comment ref="AE1" authorId="3" shapeId="0" xr:uid="{C43A2F46-A2CB-4100-80AD-1BA379E7299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nitrification rate model (1 = yes, 2 = no)</t>
        </r>
      </text>
    </comment>
    <comment ref="AF1" authorId="3" shapeId="0" xr:uid="{C5C802D9-652B-4459-A541-86EC0AB6309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on which denitrification is active (if codedenit is activated)</t>
        </r>
      </text>
    </comment>
    <comment ref="AG1" authorId="3" shapeId="0" xr:uid="{EFFFF3FC-F573-4675-AD7B-B1305B5DB15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on which denitrification is active (if codedenit is activated) (cm)</t>
        </r>
      </text>
    </comment>
    <comment ref="AH1" authorId="3" shapeId="0" xr:uid="{85F55B6D-2613-4D72-BD67-05A876BC9D8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potential rate of denitrification for the whole denitrifying layer (ka.ha-1.d-1)</t>
        </r>
      </text>
    </comment>
    <comment ref="AI1" authorId="0" shapeId="0" xr:uid="{D0583A0A-EE42-4D89-A550-CDF2CDF0521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thickness of soil layer 1 (cm)</t>
        </r>
      </text>
    </comment>
    <comment ref="AJ1" authorId="0" shapeId="0" xr:uid="{D2594FFC-B8F8-4326-B143-4B7755E10B2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gravimetric water content at field capacity ofsoil layer 1 (/fine earth) (% w)</t>
        </r>
      </text>
    </comment>
    <comment ref="AK1" authorId="0" shapeId="0" xr:uid="{CBE68D52-B82A-4DDF-9F20-35019E1C5F6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gravimetric water content at wilting point of soil layer 1 (/fine earth) (% w)</t>
        </r>
      </text>
    </comment>
    <comment ref="AL1" authorId="0" shapeId="0" xr:uid="{24017AA6-E095-4AA2-8E7A-5F1035746EC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bulk density of fine earth fraction in soil layer 1 (g/cm3)</t>
        </r>
      </text>
    </comment>
    <comment ref="AM1" authorId="1" shapeId="0" xr:uid="{F1CACDA6-D8FA-421B-828B-9E30B24E133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Volumetric content of pebbles for the 1st soil layer (m3/m3)</t>
        </r>
      </text>
    </comment>
    <comment ref="AN1" authorId="3" shapeId="0" xr:uid="{87BEDB12-7823-48AC-9740-06F51DD8E98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Pebbles type defined by a volumetric mass value (masvolx) and a field capacity moisture value (HCCCX) only used  if codecailloux=1 . 
typecailloux= 
1:Beauce limestone1, 
2:Beauce limestone2, 
3:lutecian limestone, 
4:Lutetian Brackish marl and limestone,
5:Morainic gravels,
6:Unweathered flint, sandstone or granite,
7:weathered granite,
8:Jurassic limestone,
9:Pebbles from Magneraud,
10:Other pebbles</t>
        </r>
      </text>
    </comment>
    <comment ref="AO1" authorId="1" shapeId="0" xr:uid="{D5BDA763-4738-4DCB-BFFA-B40230B1470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Infiltrability rate at the base of the 1st soil layer</t>
        </r>
      </text>
    </comment>
    <comment ref="AP1" authorId="1" shapeId="0" xr:uid="{F46507A1-97D3-4517-8027-39C38A817B5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Thickness of mixing cells in soil layer 1 (cm)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Ferchaud</author>
    <author>Florent</author>
    <author>Florent C.</author>
  </authors>
  <commentList>
    <comment ref="I1" authorId="0" shapeId="0" xr:uid="{F470DF16-B9FD-4CDA-A3B1-A52D9DAB1ED9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Automatic calculation of the depth of residues incorporation in function of proftrav
1 = yes
2 = no</t>
        </r>
      </text>
    </comment>
    <comment ref="J1" authorId="0" shapeId="0" xr:uid="{5D68F3AE-AC78-4370-BD8B-79475D7E5783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if code_auto_profres = 1</t>
        </r>
      </text>
    </comment>
    <comment ref="K1" authorId="0" shapeId="0" xr:uid="{6A093F98-CA2C-4F03-B19E-999634B536A5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aud:
if code_auto_profres = 1</t>
        </r>
      </text>
    </comment>
    <comment ref="X1" authorId="1" shapeId="0" xr:uid="{A56707E5-38B2-4EB1-A193-5E44343AA16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sowing (julian day)
min : 1
max : 736</t>
        </r>
      </text>
    </comment>
    <comment ref="Y1" authorId="1" shapeId="0" xr:uid="{2D888368-B98C-4765-A8D6-744EBED699A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Depth of sowing (cm)</t>
        </r>
      </text>
    </comment>
    <comment ref="Z1" authorId="1" shapeId="0" xr:uid="{DAF01A38-41F8-415E-AB57-BFAE7B0AEC5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Plant sowing density (plant/m²)</t>
        </r>
      </text>
    </comment>
    <comment ref="AA1" authorId="1" shapeId="0" xr:uid="{A98AF3A1-1881-4F20-BBFB-98E04678DA0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Cultivar number corresponding to the cultivar name in the plant file</t>
        </r>
      </text>
    </comment>
    <comment ref="AB1" authorId="1" shapeId="0" xr:uid="{2F50030B-E93D-4669-941B-57E2947DCDD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description of crop structure with use of radiation transfer (1 =yes, 2 = no)</t>
        </r>
      </text>
    </comment>
    <comment ref="AC1" authorId="1" shapeId="0" xr:uid="{1C6CC411-DC2F-404D-AC58-5FA18584D4B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width of the crop interrow (m)</t>
        </r>
      </text>
    </comment>
    <comment ref="AD1" authorId="1" shapeId="0" xr:uid="{48658B90-142F-48AC-97BF-D94ABAE3D2B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direction of crop rows (relative to north) (rad)</t>
        </r>
      </text>
    </comment>
    <comment ref="AE1" authorId="1" shapeId="0" xr:uid="{9420CEE2-CBA0-420C-BA73-F19D7CCA8F4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moisture and frost effects on harvest decision (1 = yes, 2 = no)</t>
        </r>
      </text>
    </comment>
    <comment ref="AF1" authorId="1" shapeId="0" xr:uid="{95DD686B-8796-49FD-88D7-DEB2F822F1C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maximal delay allowed for sowing (number of days) (if the soil compaction option is activated) (day)</t>
        </r>
      </text>
    </comment>
    <comment ref="AG1" authorId="1" shapeId="0" xr:uid="{848DB8F7-5698-4751-B91C-AEA18242431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days without frost for sowing (if sowing decision option is activated) (day)</t>
        </r>
      </text>
    </comment>
    <comment ref="AK1" authorId="1" shapeId="0" xr:uid="{AA6829C3-6B66-4C77-9375-D6CD34606A2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force one or several development stages (1 =yes, 2 = no)</t>
        </r>
      </text>
    </comment>
    <comment ref="AL1" authorId="1" shapeId="0" xr:uid="{D54712BF-FC1F-4C3C-B197-EDB656F8638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the stage emergence when the stage is observed (else 999) (julian.d)
min : 1
max : 731</t>
        </r>
      </text>
    </comment>
    <comment ref="AM1" authorId="1" shapeId="0" xr:uid="{C0258D20-D990-47AF-8C0B-956AA737C43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Florent :
Day of the maximal rate of leaf groth (end of juvenile phase) when the stage is observed (else 999) (julian.d)
min : 1
max : 731</t>
        </r>
      </text>
    </comment>
    <comment ref="AN1" authorId="1" shapeId="0" xr:uid="{4AF141E9-680E-4CF4-9E9C-DEBF3649F30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the maximal leaf area index when the stage is observed (else 999) (julian.d)
min : 1
max : 731</t>
        </r>
      </text>
    </comment>
    <comment ref="AO1" authorId="1" shapeId="0" xr:uid="{ECA2141C-0184-48B8-BE57-7822F739171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the stage SEN (beginning of net senescence) when the stage is observed (else 999) (julian day)
min : 1
max : 731</t>
        </r>
      </text>
    </comment>
    <comment ref="AP1" authorId="1" shapeId="0" xr:uid="{8811B197-D8AC-4247-AF2B-D5E68F6D536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the stage LAN () if the stage is observed (else 999) (julian day)
min : 1
max : 2</t>
        </r>
      </text>
    </comment>
    <comment ref="AQ1" authorId="1" shapeId="0" xr:uid="{56ABD915-8A1E-4499-9C83-FDA5E5E2DC9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anthesis when the stage is observed (else 999) (julian day) :
min : 1
max : 731</t>
        </r>
      </text>
    </comment>
    <comment ref="AR1" authorId="1" shapeId="0" xr:uid="{9B4DD0E1-D197-4EAC-AB45-368455537B7E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day of the stage DRP (beginning of grain filling) when the stage is observed (else 999) (julian day) :
min : 1
max : 731</t>
        </r>
      </text>
    </comment>
    <comment ref="AS1" authorId="1" shapeId="0" xr:uid="{0B1D814C-4BE2-4A4E-968F-50951F3A0AFD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day of maturity when the stage is observed (else 999) (julian day) :
min : 1
max : 731</t>
        </r>
      </text>
    </comment>
    <comment ref="AT1" authorId="1" shapeId="0" xr:uid="{AC9FDF4D-A855-47C8-AD0B-C13A3152B86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harvest (julian day) 
min : 1
max : 731</t>
        </r>
      </text>
    </comment>
    <comment ref="AU1" authorId="1" shapeId="0" xr:uid="{5899B5E7-F9D5-4644-89AD-4A5003EDA0B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irrigation efficiency</t>
        </r>
      </text>
    </comment>
    <comment ref="AV1" authorId="1" shapeId="0" xr:uid="{A88BBA41-FE93-4C47-9EAE-155B39755DC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code to activate the automatic calculation of irrigation requirements (1 = yes, 2 = no)</t>
        </r>
      </text>
    </comment>
    <comment ref="AW1" authorId="1" shapeId="0" xr:uid="{9487FE73-11BA-4385-82F5-AF12C15F6C8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water stress index below which irrigation is started in automatic mode (0 in manual mode)</t>
        </r>
      </text>
    </comment>
    <comment ref="AX1" authorId="1" shapeId="0" xr:uid="{0BA0D400-CD87-48D3-A26A-63833BD6436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maximum water amount of irrigation authorised at each time step (mode automatic irrigation) (mm.d-1)
</t>
        </r>
      </text>
    </comment>
    <comment ref="AY1" authorId="1" shapeId="0" xr:uid="{BD3677ED-3C76-49BC-B5A9-DF9B69C3F06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amount of irrigation (mm)</t>
        </r>
      </text>
    </comment>
    <comment ref="AZ1" authorId="0" shapeId="0" xr:uid="{2349B752-F15C-4558-8BD5-5639774A03E5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dates to drive automatic irrigations (1 = dates, 2 = stages, 3 = no)</t>
        </r>
      </text>
    </comment>
    <comment ref="BE1" authorId="1" shapeId="0" xr:uid="{B4D3BE49-6114-4A0C-A902-72A8102E7DA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irrigation application dates given as sum of temperatures (1 = yes, 2 = no)
</t>
        </r>
      </text>
    </comment>
    <comment ref="BF1" authorId="1" shapeId="0" xr:uid="{10DBB0FC-DBC0-49E9-BED5-2776BE27FAA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code of irrigation localisation: 
1= above the foliage, 
2= below the foliage above the soil, 
3 = in the soil
</t>
        </r>
      </text>
    </comment>
    <comment ref="BG1" authorId="1" shapeId="0" xr:uid="{FFE3CBF2-6D32-4BBF-8B0F-A3A11D9121F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at which irrigation is applied (cm)</t>
        </r>
      </text>
    </comment>
    <comment ref="BH1" authorId="1" shapeId="0" xr:uid="{5A65BFA6-2DEA-4785-AC8B-7C9B2FD0B65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depth of measurement of the soil water reserve (cm)</t>
        </r>
      </text>
    </comment>
    <comment ref="BI1" authorId="1" shapeId="0" xr:uid="{701AC6F6-A2CF-48B9-BC8C-548E6CEBF23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concentration of mineral N (NH4+NO3-N) in irrigation water (kg.ha-1.mm-1)</t>
        </r>
      </text>
    </comment>
    <comment ref="BJ1" authorId="1" shapeId="0" xr:uid="{3453AAFA-F311-41CF-8D9C-0AFF4BFDC69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mineral fertilizer application dates given as sum of temperatures (1 = yes, 2 = no)</t>
        </r>
      </text>
    </comment>
    <comment ref="BK1" authorId="1" shapeId="0" xr:uid="{FB50154A-31AF-4D50-935A-DF1812DEA4A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splitting applications of N fertiliser (1 = absolute value, 2 = % of total value)</t>
        </r>
      </text>
    </comment>
    <comment ref="BL1" authorId="1" shapeId="0" xr:uid="{A877B669-4D14-41C2-998E-FDFF10A0590F}">
      <text>
        <r>
          <rPr>
            <b/>
            <sz val="9"/>
            <color indexed="81"/>
            <rFont val="Tahoma"/>
            <family val="2"/>
          </rPr>
          <t>Floren C.:</t>
        </r>
        <r>
          <rPr>
            <sz val="9"/>
            <color indexed="81"/>
            <rFont val="Tahoma"/>
            <family val="2"/>
          </rPr>
          <t xml:space="preserve">
amount of total mineral N fertilizer applications (kg.ha-1)</t>
        </r>
      </text>
    </comment>
    <comment ref="BM1" authorId="1" shapeId="0" xr:uid="{19B6402F-1D03-4054-B88F-A31F52C5780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 of mineral fertilizer application (julian day)
min : 1
max : 731</t>
        </r>
      </text>
    </comment>
    <comment ref="BN1" authorId="1" shapeId="0" xr:uid="{BA8AB67C-6AAC-487F-8531-BA12EAF27E22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Amount of mineral fertlizer (kg.N.ha-1)</t>
        </r>
      </text>
    </comment>
    <comment ref="BO1" authorId="1" shapeId="0" xr:uid="{48CAC6BC-8EC4-460E-913F-D162D6A397F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if option_engrais_multiple == 1 </t>
        </r>
        <r>
          <rPr>
            <sz val="9"/>
            <color indexed="81"/>
            <rFont val="Tahoma"/>
            <family val="2"/>
          </rPr>
          <t xml:space="preserve">
fertilizer type :
1=ammonium nitrate, 
2=UAN solution, 
3=urea, 
4=anhydrous ammonia,
 5=ammonium sulfate,
 6=ammonium phosphate,
 7=calcium nitrate, 
8= fixed efficiency fertiliser</t>
        </r>
      </text>
    </comment>
    <comment ref="BS1" authorId="1" shapeId="0" xr:uid="{3CE9A1F6-4834-41D8-922C-6BC0C414B41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code of fertilisation localisation
1 = at soil surface,
2 = in the soil</t>
        </r>
      </text>
    </comment>
    <comment ref="BT1" authorId="1" shapeId="0" xr:uid="{75E4E177-CB58-47FD-B161-5DF5C985836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at which fertiliser is applied (cm)</t>
        </r>
      </text>
    </comment>
    <comment ref="BV1" authorId="0" shapeId="0" xr:uid="{AC409A7B-0898-4B92-8C1B-1A2F1371A701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type of crop residue 
roots
whole_crop
straw+roots
stubble+roots
stubble_of_residu_type_9+roots
stubble_of_residu_type_10+roots
prunings</t>
        </r>
      </text>
    </comment>
    <comment ref="BW1" authorId="0" shapeId="0" xr:uid="{D6E193E1-D37D-4E39-A321-4DCF2C49640B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automatic calculation of crop aerial residues in function of user parameterization (1 = yes, 2 = no)</t>
        </r>
      </text>
    </comment>
    <comment ref="BY1" authorId="1" shapeId="0" xr:uid="{65DBFF4B-F8AE-4837-A7A2-7CB69771257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of harvest type 
1 = single harvest (cutting), 
2 = multiple harvests (picking)</t>
        </r>
      </text>
    </comment>
    <comment ref="BZ1" authorId="1" shapeId="0" xr:uid="{ECBF026F-6A06-495C-8C60-1484A97C8F4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fruit harvestings
1= one at the end, 
2 = many during the cycle</t>
        </r>
      </text>
    </comment>
    <comment ref="CA1" authorId="1" shapeId="0" xr:uid="{1D5A0F84-5975-4788-9278-F418D3EAAFA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days between two harvests (day)</t>
        </r>
      </text>
    </comment>
    <comment ref="CB1" authorId="1" shapeId="0" xr:uid="{740612C7-C05C-4AB8-8922-FAC7DA6EB9E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decision to harvest 
1 = physiological maturity, 
2 = water content, 
3 = sugar content, 
4 = nitrogen content, 
5 = oil content</t>
        </r>
      </text>
    </comment>
    <comment ref="CC1" authorId="1" shapeId="0" xr:uid="{14CEA75D-252C-4783-839F-2E00997046C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the harvest as a function of grain/fruit water content
1 = minimum
2 = maximum</t>
        </r>
      </text>
    </comment>
    <comment ref="CD1" authorId="1" shapeId="0" xr:uid="{8D38BD33-BE90-4BC9-BBD6-9873A9616B73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minimal water content of fruits at harvest  (/fresh matter) (g.g-1 FW)</t>
        </r>
      </text>
    </comment>
    <comment ref="CE1" authorId="1" shapeId="0" xr:uid="{130A6C3E-4403-4D75-8084-12DC0C7E964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maximal water content of fruits at harvest  (/fresh matter) (g.g-1 FW)</t>
        </r>
      </text>
    </comment>
    <comment ref="CF1" authorId="1" shapeId="0" xr:uid="{C108C67B-7D53-44A2-A861-8D0205D91C6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sugar concentration at harvest (/ fresh matter) (g.g-1 FW)</t>
        </r>
      </text>
    </comment>
    <comment ref="CG1" authorId="1" shapeId="0" xr:uid="{A1ACD0EA-FAFB-490C-8F80-9A1F1977EFE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N content of grain at harvest </t>
        </r>
      </text>
    </comment>
    <comment ref="CH1" authorId="1" shapeId="0" xr:uid="{5B83F95C-C5DE-410E-9B87-B2AD90902BC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oil content of fruits at harvest (/fresh matter) (g.g-1 FW)</t>
        </r>
      </text>
    </comment>
    <comment ref="CI1" authorId="1" shapeId="0" xr:uid="{848BEB40-0881-4E54-A815-6E5E4ED8FC09}">
      <text>
        <r>
          <rPr>
            <b/>
            <sz val="9"/>
            <color indexed="81"/>
            <rFont val="Tahoma"/>
            <family val="2"/>
          </rPr>
          <t xml:space="preserve">
Florent C.:</t>
        </r>
        <r>
          <rPr>
            <sz val="9"/>
            <color indexed="81"/>
            <rFont val="Tahoma"/>
            <family val="2"/>
          </rPr>
          <t xml:space="preserve">
option to harvest intercrop species simultaneously, at the physiological maturity date of the earliest one (1 = no, 2 = yes)</t>
        </r>
      </text>
    </comment>
    <comment ref="CJ1" authorId="1" shapeId="0" xr:uid="{0A2C64A9-1DA1-4B0B-B0B1-9EEF5D779BE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moisture and frost effects on harvest decision (1 = yes, 2 = no)</t>
        </r>
      </text>
    </comment>
    <comment ref="CK1" authorId="1" shapeId="0" xr:uid="{CC70A1FD-AE4F-4BF3-981B-2548065E2B6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maximal delay allowed for harvest (number of days) (if the soil compaction option is activated)</t>
        </r>
      </text>
    </comment>
    <comment ref="CL1" authorId="1" shapeId="0" xr:uid="{B72DFC0A-D7AE-4E0C-9E3A-61C52469A15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cuts of forage crops (1 = yes, 2 = no)</t>
        </r>
      </text>
    </comment>
    <comment ref="CM1" authorId="0" shapeId="0" xr:uid="{F0304A52-DAC8-4478-9E5C-7B8E606A9292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dynamic calculation of residual lai on biomass after cutting (1 = yes, 2 = no)</t>
        </r>
      </text>
    </comment>
    <comment ref="CN1" authorId="0" shapeId="0" xr:uid="{82F0B455-23BB-4651-B3F6-78EFE1256A28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reference thermal time to compute cutting dates</t>
        </r>
      </text>
    </comment>
    <comment ref="CO1" authorId="1" shapeId="0" xr:uid="{3C981F43-50E8-49F9-80F5-A5113B732F2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defining the cut mode 
1 = automatic calculation depending on phenologic and trophic state,
2 = pre-established calendar in days, 
3 = pre-established calendar in degree-days</t>
        </r>
      </text>
    </comment>
    <comment ref="CP1" authorId="1" shapeId="0" xr:uid="{1C410737-7501-4EAE-9E84-E6845B982B2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cut height for forage crops (calendar calculated) (m)</t>
        </r>
      </text>
    </comment>
    <comment ref="CQ1" authorId="1" shapeId="0" xr:uid="{8B5B518A-8378-440B-8866-9F95C946C51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stage of automatic cut for forage crops
flo
drp
des 
mat
rec</t>
        </r>
      </text>
    </comment>
    <comment ref="CR1" authorId="1" shapeId="0" xr:uid="{25F78FCD-8CA1-44B2-BF45-6A89A27CEAD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date(s) of each cut for forage crops (julian day)
min : 1
max : 731
(codemodfauche == 2)</t>
        </r>
      </text>
    </comment>
    <comment ref="CS1" authorId="1" shapeId="0" xr:uid="{95B27AE7-C422-4C8D-B173-9D77A9F6F81A}">
      <text>
        <r>
          <rPr>
            <b/>
            <sz val="9"/>
            <color indexed="81"/>
            <rFont val="Tahoma"/>
            <family val="2"/>
          </rPr>
          <t xml:space="preserve">Florent C.:
</t>
        </r>
        <r>
          <rPr>
            <sz val="9"/>
            <color indexed="81"/>
            <rFont val="Tahoma"/>
            <family val="2"/>
          </rPr>
          <t>cumulative thermal time between two cuts of forage crops (degree.d-1)</t>
        </r>
        <r>
          <rPr>
            <sz val="9"/>
            <color indexed="81"/>
            <rFont val="Tahoma"/>
            <family val="2"/>
          </rPr>
          <t xml:space="preserve">
(codemodfauche == 3)</t>
        </r>
      </text>
    </comment>
    <comment ref="CT1" authorId="1" shapeId="0" xr:uid="{FC329B55-5FA7-4F63-8E47-4BE6D1C4D9A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cut height for forage crops (calendar fixed) (m)</t>
        </r>
      </text>
    </comment>
    <comment ref="CU1" authorId="1" shapeId="0" xr:uid="{0A704EE7-147D-412E-8EEF-7D13151D682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residual LAI after each cut of forage crop (m².m-²)</t>
        </r>
      </text>
    </comment>
    <comment ref="CV1" authorId="1" shapeId="0" xr:uid="{304DFF81-C960-4605-B783-69F9471DAE4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residual aerial biomass after a cut of a forage crop (t.ha-1)</t>
        </r>
      </text>
    </comment>
    <comment ref="CW1" authorId="1" shapeId="0" xr:uid="{F02F2F2A-94B2-4C28-8F39-30C3C6D445C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amount of mineral N added by fertiliser application at each cut of a forage crop (kg.ha-1)</t>
        </r>
      </text>
    </comment>
    <comment ref="CY1" authorId="1" shapeId="0" xr:uid="{95CAB477-566E-49DE-B165-D6A8FF70F89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Fraction of cut which is exported</t>
        </r>
      </text>
    </comment>
    <comment ref="CZ1" authorId="0" shapeId="0" xr:uid="{C02E5745-43E1-47C9-BB45-F746A46A6179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option defining if the grass is grazed (restit=1) or cut (restit=2)</t>
        </r>
      </text>
    </comment>
    <comment ref="DA1" authorId="1" shapeId="0" xr:uid="{9EBD72DA-1F1B-4FFA-A17E-5F0EC07FB7D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minimum value of aerial biomass required to make a cut of forage crop (t.ha-1)</t>
        </r>
      </text>
    </comment>
    <comment ref="DB1" authorId="1" shapeId="0" xr:uid="{2893F876-6DAC-49B5-ABBA-7D55BE09B70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date(s) of each cut for forage crops (julian day)
min : 1
max : 731
(codemodfauche == 2)</t>
        </r>
      </text>
    </comment>
    <comment ref="DC1" authorId="1" shapeId="0" xr:uid="{1AF41612-1BDF-42D4-81B8-CB8EC6371FF3}">
      <text>
        <r>
          <rPr>
            <b/>
            <sz val="9"/>
            <color indexed="81"/>
            <rFont val="Tahoma"/>
            <family val="2"/>
          </rPr>
          <t xml:space="preserve">Florent C.:
</t>
        </r>
        <r>
          <rPr>
            <sz val="9"/>
            <color indexed="81"/>
            <rFont val="Tahoma"/>
            <family val="2"/>
          </rPr>
          <t>cumulative thermal time between two cuts of forage crops (degree.d-1)</t>
        </r>
        <r>
          <rPr>
            <sz val="9"/>
            <color indexed="81"/>
            <rFont val="Tahoma"/>
            <family val="2"/>
          </rPr>
          <t xml:space="preserve">
(codemodfauche == 3)</t>
        </r>
      </text>
    </comment>
    <comment ref="DD1" authorId="1" shapeId="0" xr:uid="{699B9D41-C4B4-4CEF-9A48-9817C26B661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cut height for forage crops (calendar fixed) (m)</t>
        </r>
      </text>
    </comment>
    <comment ref="DE1" authorId="1" shapeId="0" xr:uid="{03988612-C23B-43E0-B297-6155713D4FC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residual LAI after each cut of forage crop (m².m-²)</t>
        </r>
      </text>
    </comment>
    <comment ref="DF1" authorId="1" shapeId="0" xr:uid="{817106BE-F160-4A6E-8A89-51F836DD061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residual aerial biomass after a cut of a forage crop (t.ha-1)</t>
        </r>
      </text>
    </comment>
    <comment ref="DG1" authorId="1" shapeId="0" xr:uid="{6C412CDB-A610-43BD-8ECD-EC134DC8AED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amount of mineral N added by fertiliser application at each cut of a forage crop (kg.ha-1)</t>
        </r>
      </text>
    </comment>
    <comment ref="DI1" authorId="1" shapeId="0" xr:uid="{1C281A94-38EA-4C6E-88F0-D7DF57B523B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Fraction of cut which is exported</t>
        </r>
      </text>
    </comment>
    <comment ref="DJ1" authorId="0" shapeId="0" xr:uid="{38CBF30F-A60F-4DF3-8D47-22C53C4EAABC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option defining if the grass is grazed (restit=1) or cut (restit=2)</t>
        </r>
      </text>
    </comment>
    <comment ref="DK1" authorId="1" shapeId="0" xr:uid="{BC289B3F-157E-4D24-82C2-0651E70FFFC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minimum value of aerial biomass required to make a cut of forage crop (t.ha-1)</t>
        </r>
      </text>
    </comment>
    <comment ref="DL1" authorId="1" shapeId="0" xr:uid="{E7A389B5-8CAE-4936-A4F5-AC1E92681D6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date(s) of each cut for forage crops (julian day)
min : 1
max : 731
(codemodfauche == 2)</t>
        </r>
      </text>
    </comment>
    <comment ref="DM1" authorId="1" shapeId="0" xr:uid="{078736E0-CECC-430B-8589-B05769586EF1}">
      <text>
        <r>
          <rPr>
            <b/>
            <sz val="9"/>
            <color indexed="81"/>
            <rFont val="Tahoma"/>
            <family val="2"/>
          </rPr>
          <t xml:space="preserve">Florent C.:
</t>
        </r>
        <r>
          <rPr>
            <sz val="9"/>
            <color indexed="81"/>
            <rFont val="Tahoma"/>
            <family val="2"/>
          </rPr>
          <t>cumulative thermal time between two cuts of forage crops (degree.d-1)</t>
        </r>
        <r>
          <rPr>
            <sz val="9"/>
            <color indexed="81"/>
            <rFont val="Tahoma"/>
            <family val="2"/>
          </rPr>
          <t xml:space="preserve">
(codemodfauche == 3)</t>
        </r>
      </text>
    </comment>
    <comment ref="DN1" authorId="1" shapeId="0" xr:uid="{3A250150-7382-4F6C-817A-EBEF2E85E55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cut height for forage crops (calendar fixed) (m)</t>
        </r>
      </text>
    </comment>
    <comment ref="DO1" authorId="1" shapeId="0" xr:uid="{4B32B488-0B0E-4B14-BC24-9621CEAFD31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residual LAI after each cut of forage crop (m².m-²)</t>
        </r>
      </text>
    </comment>
    <comment ref="DP1" authorId="1" shapeId="0" xr:uid="{7A843200-E3D5-4347-97BB-8186C66376B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residual aerial biomass after a cut of a forage crop (t.ha-1)</t>
        </r>
      </text>
    </comment>
    <comment ref="DQ1" authorId="1" shapeId="0" xr:uid="{D98F8573-CC11-4B13-A655-81E2C094C67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amount of mineral N added by fertiliser application at each cut of a forage crop (kg.ha-1)</t>
        </r>
      </text>
    </comment>
    <comment ref="DS1" authorId="1" shapeId="0" xr:uid="{B88B350D-6576-4FAB-B535-5B29A32184D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Fraction of cut which is exported</t>
        </r>
      </text>
    </comment>
    <comment ref="DT1" authorId="0" shapeId="0" xr:uid="{7273FE8E-6987-4254-9087-08CBC648406C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option defining if the grass is grazed (restit=1) or cut (restit=2)</t>
        </r>
      </text>
    </comment>
    <comment ref="DU1" authorId="1" shapeId="0" xr:uid="{68087C38-0060-4675-9480-59DBF4B857F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minimum value of aerial biomass required to make a cut of forage crop (t.ha-1)</t>
        </r>
      </text>
    </comment>
    <comment ref="DV1" authorId="1" shapeId="0" xr:uid="{43F4E65C-60FC-4E7B-A5E6-ABFA2D5EAA5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option: 1 = no cover, 2 = plastic cover partly covering the soil </t>
        </r>
      </text>
    </comment>
    <comment ref="DW1" authorId="1" shapeId="0" xr:uid="{0EDE7B1C-DABE-41C0-83F8-AFC35CB799C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fraction of soil covered by the plastic mulch </t>
        </r>
      </text>
    </comment>
    <comment ref="DX1" authorId="1" shapeId="0" xr:uid="{0CBA4086-3A95-4564-BD7A-608A1946CA5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albedo of plastic cover</t>
        </r>
      </text>
    </comment>
    <comment ref="DY1" authorId="1" shapeId="0" xr:uid="{BF1E9828-9850-4E40-8AE4-12B19091E2C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of foliage control by trimming (1 = no, 2 = yes)</t>
        </r>
      </text>
    </comment>
    <comment ref="DZ1" authorId="1" shapeId="0" xr:uid="{E4878FBF-2257-4EEE-91CB-E80DFECE93D1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trimmed width (m)</t>
        </r>
      </text>
    </comment>
    <comment ref="EA1" authorId="1" shapeId="0" xr:uid="{6242E635-A04F-49BB-9C28-A8EE9108557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cutting height for trimmed plants (m)</t>
        </r>
      </text>
    </comment>
    <comment ref="EB1" authorId="1" shapeId="0" xr:uid="{356C1948-A397-45A8-83AE-46EE5C88862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minimal biomass to be removed when topping (automatic calculation) (t.ha-1)</t>
        </r>
      </text>
    </comment>
    <comment ref="EC1" authorId="1" shapeId="0" xr:uid="{9A2A8153-7DF7-4253-91E7-0ACA079D3C2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of calculation of tipping 
1 = forced topping,
 2 = automatic calculation</t>
        </r>
      </text>
    </comment>
    <comment ref="ED1" authorId="1" shapeId="0" xr:uid="{6A96A7E8-DE03-47F9-90DD-63D37B38A7FD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day of plant trimming (julian day)
min : 1
max : 731</t>
        </r>
      </text>
    </comment>
    <comment ref="EE1" authorId="1" shapeId="0" xr:uid="{AE8B3CB1-9B5A-40CF-8372-16699AD4827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topping occurs when plant height exceeds (hautrogne+margerogne) when automatic trimming is activated (m)</t>
        </r>
      </text>
    </comment>
    <comment ref="EF1" authorId="1" shapeId="0" xr:uid="{005D68BC-D5A4-426E-B5BE-14D393C612E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for the method of fruit removal (1 = no, 2 = yes for smallest fruits) </t>
        </r>
      </text>
    </comment>
    <comment ref="EG1" authorId="1" shapeId="0" xr:uid="{3ED6BB5A-1C3D-4411-BA18-8F85926E0A8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thinning (1 = nos, 2 = yes)</t>
        </r>
      </text>
    </comment>
    <comment ref="EH1" authorId="1" shapeId="0" xr:uid="{85973FDA-0623-4511-8C24-B9430FE8ACC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of leaf removal height (1 = bottom of the canopy, 2 = top of the canopy)</t>
        </r>
      </text>
    </comment>
    <comment ref="EI1" authorId="1" shapeId="0" xr:uid="{11DCB507-7F59-4DCF-BC42-3A589DA382B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for the method to use for the calculation of leaf removal  (1 = no, 2 =yes)</t>
        </r>
      </text>
    </comment>
    <comment ref="EJ1" authorId="1" shapeId="0" xr:uid="{8E234E4C-EDCC-43DC-83E2-DE6715D31C8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LAI of the beginning of leaf removal (m².m-²)</t>
        </r>
      </text>
    </comment>
    <comment ref="EK1" authorId="1" shapeId="0" xr:uid="{2C6EFBC9-A140-42C8-B407-70378C81C16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fraction of daily leaf removed at thinning</t>
        </r>
      </text>
    </comment>
    <comment ref="EL1" authorId="1" shapeId="0" xr:uid="{C35DE4F8-A661-4CCE-89C8-842C129FAA7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leaf removal (julian day)
min : 1
max : 731</t>
        </r>
      </text>
    </comment>
    <comment ref="EM1" authorId="1" shapeId="0" xr:uid="{AEA44F91-ECB2-4B42-84B2-C6CE36F5796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LAI removed from the crop at day juleffeuil (m².m-²)
</t>
        </r>
      </text>
    </comment>
    <comment ref="EN1" authorId="1" shapeId="0" xr:uid="{19F52AC3-699D-4111-81F8-E219CCB7862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pruning (1 = no, 2 = yes)</t>
        </r>
      </text>
    </comment>
    <comment ref="EO1" authorId="1" shapeId="0" xr:uid="{BB4B83A3-F263-4F82-B155-94275DE6DFC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of pruning (julian day)
min : 1
max : 731</t>
        </r>
      </text>
    </comment>
    <comment ref="EP1" authorId="1" shapeId="0" xr:uid="{06294FC7-9F54-4A74-A270-C2412A528C3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defining if the plant is fixed onto a vertical suuport (palissage) (1 = no, 2 = yes)</t>
        </r>
      </text>
    </comment>
    <comment ref="EQ1" authorId="1" shapeId="0" xr:uid="{5F0557E4-9CA5-438A-B171-291D5F2C9F5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maximal height of the plant allowed by the management (m)</t>
        </r>
      </text>
    </comment>
    <comment ref="ER1" authorId="1" shapeId="0" xr:uid="{5E8C95FA-C72C-48AE-AE2C-8155F46E141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technical width (m)</t>
        </r>
      </text>
    </comment>
    <comment ref="ES1" authorId="2" shapeId="0" xr:uid="{B45EF612-214D-4828-BE7C-33FACEC5349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cropping under shelter (1 = no, 2 = yes)</t>
        </r>
      </text>
    </comment>
    <comment ref="ET1" authorId="2" shapeId="0" xr:uid="{31C90A52-4886-417A-B3B2-BBF06BA0EDB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transmission coefficient of the plastic shelter</t>
        </r>
      </text>
    </comment>
    <comment ref="EU1" authorId="2" shapeId="0" xr:uid="{361032C2-FE2F-44F0-B2B2-D0EF150ECF1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relative area of the shelter opened the first day of opening</t>
        </r>
      </text>
    </comment>
    <comment ref="EV1" authorId="2" shapeId="0" xr:uid="{5298E967-0C31-4DCC-9131-AA185AA5553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(1/2) of opening the shelter (julian day)
min : 1
max : 731</t>
        </r>
      </text>
    </comment>
    <comment ref="EW1" authorId="2" shapeId="0" xr:uid="{9B57B695-8D48-4D2D-996E-B7BAA690B46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relative area of the shelter opened the second day of opening</t>
        </r>
      </text>
    </comment>
    <comment ref="EX1" authorId="2" shapeId="0" xr:uid="{80E02A59-E56B-41A7-A8BB-FEFDE9E80B2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day (2/2) of opening the shelter (julian day)
min : 1
max : 731</t>
        </r>
      </text>
    </comment>
    <comment ref="EY1" authorId="2" shapeId="0" xr:uid="{841B8347-258F-4270-9F0A-AFD205C2B27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relative area of the shelter opened the third day of opening</t>
        </r>
      </text>
    </comment>
    <comment ref="EZ1" authorId="0" shapeId="0" xr:uid="{20BF8ADF-A815-45A7-A370-A6CEE7C1D197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date of plant destruction (for perennial crops only) (1 = yes, 2 = no)</t>
        </r>
      </text>
    </comment>
    <comment ref="FB1" authorId="2" shapeId="0" xr:uid="{36FFC2F9-E0A8-4EA7-BD57-C3353EC2C5D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the variations in soil physical soil conditions due to tillage (1 = yes, 2 = no)</t>
        </r>
      </text>
    </comment>
    <comment ref="FC1" authorId="2" shapeId="0" xr:uid="{D1FB052E-E149-427F-99A8-66BD2667CAD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bulk density of soil after soil tillage (Chisel) (g.cm-3)</t>
        </r>
      </text>
    </comment>
    <comment ref="FD1" authorId="2" shapeId="0" xr:uid="{ABFBEAEA-A625-41CC-8A55-568594C4E4E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bulk density of soil after full inversion tillage (plough) (g.cm-3)</t>
        </r>
      </text>
    </comment>
    <comment ref="FE1" authorId="2" shapeId="0" xr:uid="{C7CABFB2-733B-49CF-9686-83A54E3F5D0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roughness length of bare soil after chisel tillage (if soil compaction is activated) (m)</t>
        </r>
      </text>
    </comment>
    <comment ref="FF1" authorId="2" shapeId="0" xr:uid="{BD4B384E-DC76-4BA4-AF95-1014ECBA8C9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roughness length of bare soil after mouldboard ploughing (if soil compaction is activated) (m)</t>
        </r>
      </text>
    </comment>
    <comment ref="FG1" authorId="2" shapeId="0" xr:uid="{2850282F-A22A-419B-888F-1B138CF0AEF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the soil compaction at sowing and harvest  (1 = yes, 2 = no) (m)</t>
        </r>
      </text>
    </comment>
    <comment ref="FH1" authorId="2" shapeId="0" xr:uid="{108BD72C-2637-43D3-AF88-17BECE9EFC5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at which moisture is considered to allow sowing (if soil compaction is activated) (cm)</t>
        </r>
      </text>
    </comment>
    <comment ref="FI1" authorId="2" shapeId="0" xr:uid="{9F455006-D921-460E-B51E-1344B6A5D37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bulk density of soil after sowing (g.cm-3)</t>
        </r>
      </text>
    </comment>
    <comment ref="FJ1" authorId="2" shapeId="0" xr:uid="{C656B130-62F8-4E39-AE18-32D859A47F8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soil depth at which moisture is considered to allow harvesting (if soil compaction is activated) (cm)</t>
        </r>
      </text>
    </comment>
    <comment ref="FK1" authorId="2" shapeId="0" xr:uid="{BB932C39-3C61-4593-B6E7-BC3B99704C89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bulk density of soil after harvest (g.cm-3)</t>
        </r>
      </text>
    </comment>
    <comment ref="FL1" authorId="2" shapeId="0" xr:uid="{87241C37-2405-4BB4-B787-22D4E55BB63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number of compacted soil layers
1 = one layer, 
2 = two layers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Florent</author>
    <author>Fabien Ferchaud</author>
    <author>Ferchaud</author>
  </authors>
  <commentList>
    <comment ref="B1" authorId="0" shapeId="0" xr:uid="{3AB1B684-5E5B-4C5D-A744-BE3975A31A5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reference height of meteorological data measurement</t>
        </r>
      </text>
    </comment>
    <comment ref="C1" authorId="0" shapeId="0" xr:uid="{66ED2940-97C6-4B92-8D27-EDCB39BDD26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NH3 concentration in the atmosphere (µg.m-3)</t>
        </r>
      </text>
    </comment>
    <comment ref="E1" authorId="0" shapeId="0" xr:uid="{4710F1B1-E419-4C1C-BCF3-1844AA58F0FD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latitude of the site (degree)
</t>
        </r>
      </text>
    </comment>
    <comment ref="F1" authorId="0" shapeId="0" xr:uid="{6A60CBA1-5E1F-40A7-AC9E-564E18B559B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atmospheric pressure
 (mbar)</t>
        </r>
      </text>
    </comment>
    <comment ref="G1" authorId="0" shapeId="0" xr:uid="{CF7DCA38-A3B6-4A3E-AE2E-10CDFF9B6AE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climatic component of A to calculate actual soil evaporation
 (mm)</t>
        </r>
      </text>
    </comment>
    <comment ref="H1" authorId="0" shapeId="0" xr:uid="{EECFCB92-1D10-431B-B70E-DD4CE3E11BB0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for the method of calculating PET:
1 = forced Penman,
 2 = calculated Penman,
 3= Shuttleworth &amp; Wallace,
 4 = Priestley &amp; Taylor</t>
        </r>
      </text>
    </comment>
    <comment ref="I1" authorId="0" shapeId="0" xr:uid="{439F1283-BF5A-4E45-8EFD-B0E6F957F47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of Priestley-Taylor formula</t>
        </r>
      </text>
    </comment>
    <comment ref="J1" authorId="0" shapeId="0" xr:uid="{9AEC81C0-C6FC-47A1-AF41-EC3E97C34564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climate change (1 = no, 2 =yes)</t>
        </r>
      </text>
    </comment>
    <comment ref="K1" authorId="0" shapeId="0" xr:uid="{162DAF3A-528A-4BF8-BF7F-D0AA5C34C30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the calculation of the climate in altitude (1 = no, 2 = yes)</t>
        </r>
      </text>
    </comment>
    <comment ref="L1" authorId="0" shapeId="0" xr:uid="{FF380E4A-05F6-467F-96D6-A01F7D0AB308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altitude of the input metorological station (m)</t>
        </r>
      </text>
    </comment>
    <comment ref="M1" authorId="0" shapeId="0" xr:uid="{74D1E82E-38EB-4439-841C-F42E20ADF838}">
      <text>
        <r>
          <rPr>
            <b/>
            <sz val="9"/>
            <color indexed="81"/>
            <rFont val="Tahoma"/>
            <family val="2"/>
          </rPr>
          <t>Florent:</t>
        </r>
        <r>
          <rPr>
            <sz val="9"/>
            <color indexed="81"/>
            <rFont val="Tahoma"/>
            <family val="2"/>
          </rPr>
          <t xml:space="preserve">
altitude of simulated site (m.)</t>
        </r>
      </text>
    </comment>
    <comment ref="N1" authorId="0" shapeId="0" xr:uid="{0A1D1097-A7FF-489B-AD14-356B561A515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thermal gradient in altitude for minimal temperatures (degreeC.m-1)</t>
        </r>
      </text>
    </comment>
    <comment ref="O1" authorId="0" shapeId="0" xr:uid="{9087B77D-F829-4A17-B1EC-96BC31909DF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thermal gradient in altitude for maximal temperatures (degreeC.m-1)</t>
        </r>
      </text>
    </comment>
    <comment ref="P1" authorId="0" shapeId="0" xr:uid="{52AEB43C-BE67-4502-904D-FA62BE901B3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altitude of inversion of the thermal gradient (m)</t>
        </r>
      </text>
    </comment>
    <comment ref="Q1" authorId="0" shapeId="0" xr:uid="{EB73524A-B8E7-4CE7-A816-714AA49332D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thermal gradient in altitude for minimal temperatures under the inversion level (degreeC.m-1)</t>
        </r>
      </text>
    </comment>
    <comment ref="R1" authorId="0" shapeId="0" xr:uid="{99D56D08-1D77-4431-9B0E-CE1C8AA16252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fraction of sunny hours allowing the inversion of thermal gradient with altitude</t>
        </r>
      </text>
    </comment>
    <comment ref="S1" authorId="0" shapeId="0" xr:uid="{71B6866F-FA36-4FE6-8118-76C44A903FE7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calculate mountain climate taking into account the orientation (1 = south, 2 = north)</t>
        </r>
      </text>
    </comment>
    <comment ref="T1" authorId="0" shapeId="0" xr:uid="{6DCA7BA8-F013-4764-97BC-5696D407B29C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change in air temperature in the northern hillslope of mountains (activated if codadret=2)</t>
        </r>
      </text>
    </comment>
    <comment ref="U1" authorId="0" shapeId="0" xr:uid="{4EE651FC-32AB-493D-BE98-913EBB0943DB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aerodynamic resistance (used in volatilization module when we use ETP approach)</t>
        </r>
      </text>
    </comment>
    <comment ref="V1" authorId="0" shapeId="0" xr:uid="{55715C01-F812-4BAA-9D6C-5A8FB8C326D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albedo of the vegetation</t>
        </r>
      </text>
    </comment>
    <comment ref="W1" authorId="0" shapeId="0" xr:uid="{B80B86BD-A276-4BBD-89B2-DC73BF9424DF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coefficient of the Angstrom's relationship for extraterrestrial radiation</t>
        </r>
      </text>
    </comment>
    <comment ref="X1" authorId="0" shapeId="0" xr:uid="{EF63EC66-1007-4E18-AAD1-27A9D6812BE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coefficient of the Angstrom's relationship for extraterrestrial radiation</t>
        </r>
      </text>
    </comment>
    <comment ref="Y1" authorId="0" shapeId="0" xr:uid="{2EC6CF1F-1CE5-4500-B974-DBEE5E57E4E5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temperature to substract to Tmin to estimate dew point temperature (in case of missing air humidity data)</t>
        </r>
      </text>
    </comment>
    <comment ref="Z1" authorId="0" shapeId="0" xr:uid="{5FEBA617-B530-4736-B344-48338646E97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to activate the use of crop temperature for phasic development calculation:
1 = empirical relation,
2 =energy balance</t>
        </r>
      </text>
    </comment>
    <comment ref="AA1" authorId="0" shapeId="0" xr:uid="{56282765-3662-475F-B252-AB327E6DC6B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option of calculation of net radiation:
1 = Brunt's method,
2 = Cellier's method</t>
        </r>
      </text>
    </comment>
    <comment ref="AB1" authorId="0" shapeId="0" xr:uid="{1009439F-239E-4B70-A8BD-02241DE3F076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multiplier coefficient of the exterior radiation to compute PET inside of a greenhouse</t>
        </r>
      </text>
    </comment>
    <comment ref="AC1" authorId="0" shapeId="0" xr:uid="{C63B2D77-ED14-4200-B61A-BF1EA82A381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of calculation of the energetic loss between the inside and the outside of a greenhouse (W.m-2.K-1)</t>
        </r>
      </text>
    </comment>
    <comment ref="AD1" authorId="0" shapeId="0" xr:uid="{ECDCDE6E-BD53-48B0-88E8-AF4C9D634B3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of calculation of the energetic lost between the inside and the outside of a greenhouse (W.m-2.K-1)</t>
        </r>
      </text>
    </comment>
    <comment ref="AE1" authorId="0" shapeId="0" xr:uid="{B95A580C-9A0B-4DF2-B199-CB2FF9DCBBBE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of the climate calculation under the shelter</t>
        </r>
      </text>
    </comment>
    <comment ref="AF1" authorId="0" shapeId="0" xr:uid="{0C6D1CF8-6D49-494E-9571-711ED9311683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parameter allowing the calculation of the climate under shelter</t>
        </r>
      </text>
    </comment>
    <comment ref="AG1" authorId="0" shapeId="0" xr:uid="{658A7EF7-C726-4E2A-BFDA-7790619BC50A}">
      <text>
        <r>
          <rPr>
            <b/>
            <sz val="9"/>
            <color indexed="81"/>
            <rFont val="Tahoma"/>
            <family val="2"/>
          </rPr>
          <t>Florent C.:</t>
        </r>
        <r>
          <rPr>
            <sz val="9"/>
            <color indexed="81"/>
            <rFont val="Tahoma"/>
            <family val="2"/>
          </rPr>
          <t xml:space="preserve">
coefficient of calculation of the net radiation under greenhouse</t>
        </r>
      </text>
    </comment>
    <comment ref="G2" authorId="1" shapeId="0" xr:uid="{113A6516-7BFB-45F7-9377-426CD619EA2A}">
      <text>
        <r>
          <rPr>
            <b/>
            <sz val="9"/>
            <color indexed="81"/>
            <rFont val="Tahoma"/>
            <family val="2"/>
          </rPr>
          <t>Fabien Ferchaud:</t>
        </r>
        <r>
          <rPr>
            <sz val="9"/>
            <color indexed="81"/>
            <rFont val="Tahoma"/>
            <family val="2"/>
          </rPr>
          <t xml:space="preserve">
calculé à partir de la vitesse médiane du vent les jours sans pluie</t>
        </r>
      </text>
    </comment>
    <comment ref="G3" authorId="2" shapeId="0" xr:uid="{19E1C988-B55C-4377-9AC9-9F4272DC8635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calculé à partir de la valeur médiane de la vitesse du vent les jours sans pluie (1.9 m/s)</t>
        </r>
      </text>
    </comment>
    <comment ref="G4" authorId="2" shapeId="0" xr:uid="{6E2CBE76-5F8D-48B9-A7EC-4E733B503E2A}">
      <text>
        <r>
          <rPr>
            <b/>
            <sz val="9"/>
            <color indexed="81"/>
            <rFont val="Tahoma"/>
            <family val="2"/>
          </rPr>
          <t>Ferchaud:</t>
        </r>
        <r>
          <rPr>
            <sz val="9"/>
            <color indexed="81"/>
            <rFont val="Tahoma"/>
            <family val="2"/>
          </rPr>
          <t xml:space="preserve">
calculé à partir de la valeur médiane de la vitesse du vent les jours sans pluie (1.9 m/s)</t>
        </r>
      </text>
    </comment>
  </commentList>
</comments>
</file>

<file path=xl/sharedStrings.xml><?xml version="1.0" encoding="utf-8"?>
<sst xmlns="http://schemas.openxmlformats.org/spreadsheetml/2006/main" count="1321" uniqueCount="422">
  <si>
    <t>usm_name</t>
  </si>
  <si>
    <t>datedebut</t>
  </si>
  <si>
    <t>datefin</t>
  </si>
  <si>
    <t>finit</t>
  </si>
  <si>
    <t>nomsol</t>
  </si>
  <si>
    <t>fstation</t>
  </si>
  <si>
    <t>fclim1</t>
  </si>
  <si>
    <t>fclim2</t>
  </si>
  <si>
    <t>culturean</t>
  </si>
  <si>
    <t>nbplantes</t>
  </si>
  <si>
    <t>codesimul</t>
  </si>
  <si>
    <t>fplt_1</t>
  </si>
  <si>
    <t>ftec_1</t>
  </si>
  <si>
    <t>flai_1</t>
  </si>
  <si>
    <t>fplt_2</t>
  </si>
  <si>
    <t>ftec_2</t>
  </si>
  <si>
    <t>flai_2</t>
  </si>
  <si>
    <t>Ini_name</t>
  </si>
  <si>
    <t>stade0_Crop1</t>
  </si>
  <si>
    <t>lai0_Crop1</t>
  </si>
  <si>
    <t>masec0_Crop1</t>
  </si>
  <si>
    <t>QNplante0_Crop1</t>
  </si>
  <si>
    <t>magrain0_Crop1</t>
  </si>
  <si>
    <t>zrac0_Crop1</t>
  </si>
  <si>
    <t>densinitial_1_Crop1</t>
  </si>
  <si>
    <t>densinitial_2_Crop1</t>
  </si>
  <si>
    <t>densinitial_3_Crop1</t>
  </si>
  <si>
    <t>densinitial_4_Crop1</t>
  </si>
  <si>
    <t>densinitial_5_Crop1</t>
  </si>
  <si>
    <t>Soil_name</t>
  </si>
  <si>
    <t>argi</t>
  </si>
  <si>
    <t>norg</t>
  </si>
  <si>
    <t>calc</t>
  </si>
  <si>
    <t>pH</t>
  </si>
  <si>
    <t>albedo</t>
  </si>
  <si>
    <t>q0</t>
  </si>
  <si>
    <t>epc_1</t>
  </si>
  <si>
    <t>HCCF_1</t>
  </si>
  <si>
    <t>HMINF_1</t>
  </si>
  <si>
    <t>DAF_1</t>
  </si>
  <si>
    <t>epc_2</t>
  </si>
  <si>
    <t>HCCF_2</t>
  </si>
  <si>
    <t>HMINF_2</t>
  </si>
  <si>
    <t>DAF_2</t>
  </si>
  <si>
    <t>epc_3</t>
  </si>
  <si>
    <t>HCCF_3</t>
  </si>
  <si>
    <t>HMINF_3</t>
  </si>
  <si>
    <t>DAF_3</t>
  </si>
  <si>
    <t>epc_4</t>
  </si>
  <si>
    <t>HCCF_4</t>
  </si>
  <si>
    <t>HMINF_4</t>
  </si>
  <si>
    <t>DAF_4</t>
  </si>
  <si>
    <t>Tec_name</t>
  </si>
  <si>
    <t>iplt0</t>
  </si>
  <si>
    <t>profsem</t>
  </si>
  <si>
    <t>densitesem</t>
  </si>
  <si>
    <t>variete</t>
  </si>
  <si>
    <t>codestade</t>
  </si>
  <si>
    <t>ilev</t>
  </si>
  <si>
    <t>iamf</t>
  </si>
  <si>
    <t>ilax</t>
  </si>
  <si>
    <t>isen</t>
  </si>
  <si>
    <t>ilan</t>
  </si>
  <si>
    <t>iflo</t>
  </si>
  <si>
    <t>idrp</t>
  </si>
  <si>
    <t>imat</t>
  </si>
  <si>
    <t>irec</t>
  </si>
  <si>
    <t>irecbutoir</t>
  </si>
  <si>
    <t>effirr</t>
  </si>
  <si>
    <t>codecalirrig</t>
  </si>
  <si>
    <t>codedateappH2O</t>
  </si>
  <si>
    <t>codlocirrig</t>
  </si>
  <si>
    <t>locirrig</t>
  </si>
  <si>
    <t>profmes</t>
  </si>
  <si>
    <t>concirr</t>
  </si>
  <si>
    <t>codedateappN</t>
  </si>
  <si>
    <t>codefracappN</t>
  </si>
  <si>
    <t>Qtot_N</t>
  </si>
  <si>
    <t>codlocferti</t>
  </si>
  <si>
    <t>locferti</t>
  </si>
  <si>
    <t>ressuite</t>
  </si>
  <si>
    <t>cadencerec</t>
  </si>
  <si>
    <t>codrecolte</t>
  </si>
  <si>
    <t>nbjmaxapresrecolte</t>
  </si>
  <si>
    <t>codeffeuil</t>
  </si>
  <si>
    <t>codhauteff</t>
  </si>
  <si>
    <t>codcaleffeuil</t>
  </si>
  <si>
    <t>laidebeff</t>
  </si>
  <si>
    <t>effeuil</t>
  </si>
  <si>
    <t>juleffeuil</t>
  </si>
  <si>
    <t>laieffeuil</t>
  </si>
  <si>
    <t>Sta_name</t>
  </si>
  <si>
    <t>zr</t>
  </si>
  <si>
    <t>NH3ref</t>
  </si>
  <si>
    <t>latitude</t>
  </si>
  <si>
    <t>patm</t>
  </si>
  <si>
    <t>aclim</t>
  </si>
  <si>
    <t>codeetp</t>
  </si>
  <si>
    <t>alphapt</t>
  </si>
  <si>
    <t>codeclichange</t>
  </si>
  <si>
    <t>codaltitude</t>
  </si>
  <si>
    <t>altistation</t>
  </si>
  <si>
    <t>altisimul</t>
  </si>
  <si>
    <t>gradtn</t>
  </si>
  <si>
    <t>gradtx</t>
  </si>
  <si>
    <t>altinversion</t>
  </si>
  <si>
    <t>gradtninv</t>
  </si>
  <si>
    <t>cielclair</t>
  </si>
  <si>
    <t>codadret</t>
  </si>
  <si>
    <t>ombragetx</t>
  </si>
  <si>
    <t>ra</t>
  </si>
  <si>
    <t>albveg</t>
  </si>
  <si>
    <t>aangst</t>
  </si>
  <si>
    <t>bangst</t>
  </si>
  <si>
    <t>corecTrosee</t>
  </si>
  <si>
    <t>codecaltemp</t>
  </si>
  <si>
    <t>codernet</t>
  </si>
  <si>
    <t>coefdevil</t>
  </si>
  <si>
    <t>aks</t>
  </si>
  <si>
    <t>bks</t>
  </si>
  <si>
    <t>cvent</t>
  </si>
  <si>
    <t>phiv0</t>
  </si>
  <si>
    <t>coefrnet</t>
  </si>
  <si>
    <t>maperenne0_Crop1</t>
  </si>
  <si>
    <t>QNperenne0_Crop1</t>
  </si>
  <si>
    <t>masecnp0_Crop1</t>
  </si>
  <si>
    <t>QNplantenp0_Crop1</t>
  </si>
  <si>
    <t>profhum</t>
  </si>
  <si>
    <t>concseuil</t>
  </si>
  <si>
    <t>ruisolnu</t>
  </si>
  <si>
    <t>obstarac</t>
  </si>
  <si>
    <t>pluiebat</t>
  </si>
  <si>
    <t>mulchbat</t>
  </si>
  <si>
    <t>zesx</t>
  </si>
  <si>
    <t>cfes</t>
  </si>
  <si>
    <t>z0solnu</t>
  </si>
  <si>
    <t>finert</t>
  </si>
  <si>
    <t>penterui</t>
  </si>
  <si>
    <t>epc_5</t>
  </si>
  <si>
    <t>HCCF_5</t>
  </si>
  <si>
    <t>HMINF_5</t>
  </si>
  <si>
    <t>DAF_5</t>
  </si>
  <si>
    <t>cailloux_1</t>
  </si>
  <si>
    <t>typecailloux_1</t>
  </si>
  <si>
    <t>infil_1</t>
  </si>
  <si>
    <t>epd_1</t>
  </si>
  <si>
    <t>cailloux_2</t>
  </si>
  <si>
    <t>typecailloux_2</t>
  </si>
  <si>
    <t>infil_2</t>
  </si>
  <si>
    <t>epd_2</t>
  </si>
  <si>
    <t>cailloux_3</t>
  </si>
  <si>
    <t>typecailloux_3</t>
  </si>
  <si>
    <t>infil_3</t>
  </si>
  <si>
    <t>epd_3</t>
  </si>
  <si>
    <t>cailloux_4</t>
  </si>
  <si>
    <t>typecailloux_4</t>
  </si>
  <si>
    <t>infil_4</t>
  </si>
  <si>
    <t>epd_4</t>
  </si>
  <si>
    <t>cailloux_5</t>
  </si>
  <si>
    <t>typecailloux_5</t>
  </si>
  <si>
    <t>infil_5</t>
  </si>
  <si>
    <t>epd_5</t>
  </si>
  <si>
    <t>code_auto_profres</t>
  </si>
  <si>
    <t>codetradtec</t>
  </si>
  <si>
    <t>interrang</t>
  </si>
  <si>
    <t>orientrang</t>
  </si>
  <si>
    <t>codedecisemis</t>
  </si>
  <si>
    <t>nbjmaxapressemis</t>
  </si>
  <si>
    <t>nbjseuiltempref</t>
  </si>
  <si>
    <t>nbj_pr_apres_semis</t>
  </si>
  <si>
    <t>eau_mini_decisemis</t>
  </si>
  <si>
    <t>humirac_decisemis</t>
  </si>
  <si>
    <t>ratiol</t>
  </si>
  <si>
    <t>dosimx</t>
  </si>
  <si>
    <t>doseirrigmin</t>
  </si>
  <si>
    <t>codedate_irrigauto</t>
  </si>
  <si>
    <t>datedeb_irrigauto</t>
  </si>
  <si>
    <t>datefin_irrigauto</t>
  </si>
  <si>
    <t>stage_start_irrigauto</t>
  </si>
  <si>
    <t>stage_end_irrigauto</t>
  </si>
  <si>
    <t>code_autoressuite</t>
  </si>
  <si>
    <t>codeaumin</t>
  </si>
  <si>
    <t>h2ograinmin</t>
  </si>
  <si>
    <t>h2ograinmax</t>
  </si>
  <si>
    <t>sucrerec</t>
  </si>
  <si>
    <t>huilerec</t>
  </si>
  <si>
    <t>coderecolteassoc</t>
  </si>
  <si>
    <t>codedecirecolte</t>
  </si>
  <si>
    <t>codefauche</t>
  </si>
  <si>
    <t>code_hautfauche_dyn</t>
  </si>
  <si>
    <t>codetempfauche</t>
  </si>
  <si>
    <t>codemodfauche</t>
  </si>
  <si>
    <t>hautcoupedefaut</t>
  </si>
  <si>
    <t>stadecoupedf</t>
  </si>
  <si>
    <t>codepaillage</t>
  </si>
  <si>
    <t>couvermulchplastique</t>
  </si>
  <si>
    <t>albedomulchplastique</t>
  </si>
  <si>
    <t>largrogne</t>
  </si>
  <si>
    <t>hautrogne</t>
  </si>
  <si>
    <t>biorognem</t>
  </si>
  <si>
    <t>codcalrogne</t>
  </si>
  <si>
    <t>julrogne</t>
  </si>
  <si>
    <t>margerogne</t>
  </si>
  <si>
    <t>codeclaircie</t>
  </si>
  <si>
    <t>codetaille</t>
  </si>
  <si>
    <t>jultaille</t>
  </si>
  <si>
    <t>codepalissage</t>
  </si>
  <si>
    <t>hautmaxtec</t>
  </si>
  <si>
    <t>largtec</t>
  </si>
  <si>
    <t>codabri</t>
  </si>
  <si>
    <t>transplastic</t>
  </si>
  <si>
    <t>surfouvre1</t>
  </si>
  <si>
    <t>julouvre2</t>
  </si>
  <si>
    <t>surfouvre2</t>
  </si>
  <si>
    <t>julouvre3</t>
  </si>
  <si>
    <t>surfouvre3</t>
  </si>
  <si>
    <t>codejourdes</t>
  </si>
  <si>
    <t>juldes</t>
  </si>
  <si>
    <t>codeDST</t>
  </si>
  <si>
    <t>dachisel</t>
  </si>
  <si>
    <t>dalabour</t>
  </si>
  <si>
    <t>rugochisel</t>
  </si>
  <si>
    <t>rugolabour</t>
  </si>
  <si>
    <t>codeDSTtass</t>
  </si>
  <si>
    <t>profhumsemoir</t>
  </si>
  <si>
    <t>dasemis</t>
  </si>
  <si>
    <t>profhumrecolteuse</t>
  </si>
  <si>
    <t>darecolte</t>
  </si>
  <si>
    <t>codeDSTnbcouche</t>
  </si>
  <si>
    <t>resk</t>
  </si>
  <si>
    <t>resz</t>
  </si>
  <si>
    <t>concrr</t>
  </si>
  <si>
    <t>codecailloux</t>
  </si>
  <si>
    <t>codemacropor</t>
  </si>
  <si>
    <t>codefente</t>
  </si>
  <si>
    <t>codrainage</t>
  </si>
  <si>
    <t>profimper</t>
  </si>
  <si>
    <t>ecartdrain</t>
  </si>
  <si>
    <t>ksol</t>
  </si>
  <si>
    <t>profdrain</t>
  </si>
  <si>
    <t>coderemontcap</t>
  </si>
  <si>
    <t>codenitrif</t>
  </si>
  <si>
    <t>codedenit</t>
  </si>
  <si>
    <t>capiljour</t>
  </si>
  <si>
    <t>humcapil</t>
  </si>
  <si>
    <t>profdenit</t>
  </si>
  <si>
    <t>vpotdenit</t>
  </si>
  <si>
    <t>codrognage</t>
  </si>
  <si>
    <t>CNgrainrec</t>
  </si>
  <si>
    <t>Stubblevegratio</t>
  </si>
  <si>
    <t>CsurNsol</t>
  </si>
  <si>
    <t>code_acti_reserve_Crop1</t>
  </si>
  <si>
    <t>null</t>
  </si>
  <si>
    <t>codceuille</t>
  </si>
  <si>
    <t>nbceuille</t>
  </si>
  <si>
    <t>julres_1</t>
  </si>
  <si>
    <t>coderes_1</t>
  </si>
  <si>
    <t>qres_1</t>
  </si>
  <si>
    <t>Crespc_1</t>
  </si>
  <si>
    <t>CsurNres_1</t>
  </si>
  <si>
    <t>Nminres_1</t>
  </si>
  <si>
    <t>eaures_1</t>
  </si>
  <si>
    <t>jultrav_1</t>
  </si>
  <si>
    <t>proftrav_1</t>
  </si>
  <si>
    <t>profres_1</t>
  </si>
  <si>
    <t>jultrav_2</t>
  </si>
  <si>
    <t>proftrav_2</t>
  </si>
  <si>
    <t>profres_2</t>
  </si>
  <si>
    <t>jultrav_3</t>
  </si>
  <si>
    <t>proftrav_3</t>
  </si>
  <si>
    <t>profres_3</t>
  </si>
  <si>
    <t>julapN_1</t>
  </si>
  <si>
    <t>engrais_1</t>
  </si>
  <si>
    <t>doseN_1</t>
  </si>
  <si>
    <t>restemp0_Crop1</t>
  </si>
  <si>
    <t>NO3initf_1</t>
  </si>
  <si>
    <t>NO3initf_2</t>
  </si>
  <si>
    <t>NO3initf_3</t>
  </si>
  <si>
    <t>NO3initf_4</t>
  </si>
  <si>
    <t>NO3initf_5</t>
  </si>
  <si>
    <t>NH4initf_1</t>
  </si>
  <si>
    <t>NH4initf_2</t>
  </si>
  <si>
    <t>NH4initf_3</t>
  </si>
  <si>
    <t>NH4initf_4</t>
  </si>
  <si>
    <t>NH4initf_5</t>
  </si>
  <si>
    <t>Hinitf_1</t>
  </si>
  <si>
    <t>Hinitf_2</t>
  </si>
  <si>
    <t>Hinitf_3</t>
  </si>
  <si>
    <t>Hinitf_4</t>
  </si>
  <si>
    <t>Hinitf_5</t>
  </si>
  <si>
    <t>wheat_plt.xml</t>
  </si>
  <si>
    <t>snu</t>
  </si>
  <si>
    <t>julapN_2</t>
  </si>
  <si>
    <t>doseN_2</t>
  </si>
  <si>
    <t>engrais_2</t>
  </si>
  <si>
    <t>stubble+roots</t>
  </si>
  <si>
    <t>fobs_1</t>
  </si>
  <si>
    <t>ACBB_Mons_T5_ini.xml</t>
  </si>
  <si>
    <t>ACBB_Mons_T5</t>
  </si>
  <si>
    <t>ACBB_Mons_sta.xml</t>
  </si>
  <si>
    <t>ACBB_Mons.2009</t>
  </si>
  <si>
    <t>T5_2009_b1_tec.xml</t>
  </si>
  <si>
    <t>ACBB_Mons.2010</t>
  </si>
  <si>
    <t>T5_2010_a1_tec.xml</t>
  </si>
  <si>
    <t>T5_2010_b1_tec.xml</t>
  </si>
  <si>
    <t/>
  </si>
  <si>
    <t>ACBB_Mons.2011</t>
  </si>
  <si>
    <t>T5_2011_b1_tec.xml</t>
  </si>
  <si>
    <t>ACBB_Mons.2012</t>
  </si>
  <si>
    <t>T5_2012_b1_tec.xml</t>
  </si>
  <si>
    <t>ACBB_Mons.2013</t>
  </si>
  <si>
    <t>T5_2013_a1_tec.xml</t>
  </si>
  <si>
    <t>T5_2013_b1_tec.xml</t>
  </si>
  <si>
    <t>ACBB_Mons.2014</t>
  </si>
  <si>
    <t>T5_2014_a1_tec.xml</t>
  </si>
  <si>
    <t>T5_2014_b1_tec.xml</t>
  </si>
  <si>
    <t>ACBB_Mons.2015</t>
  </si>
  <si>
    <t>T5_2015_b1_tec.xml</t>
  </si>
  <si>
    <t>ACBB_Mons.2016</t>
  </si>
  <si>
    <t>T5_2016_a1_tec.xml</t>
  </si>
  <si>
    <t>ACBB_Mons_T5_alfY1_ini.xml</t>
  </si>
  <si>
    <t>T5_2016_b1_tec.xml</t>
  </si>
  <si>
    <t>ACBB_Mons_T5_alfYn_ini.xml</t>
  </si>
  <si>
    <t>ACBB_Mons.2017</t>
  </si>
  <si>
    <t>T5_2017_b1_tec.xml</t>
  </si>
  <si>
    <t>ACBB_Mons.2018</t>
  </si>
  <si>
    <t>T5_2018_b1_tec.xml</t>
  </si>
  <si>
    <t>ACBB_Mons.2019</t>
  </si>
  <si>
    <t>T5_2019_a1_tec.xml</t>
  </si>
  <si>
    <t>T5_2019_b1_tec.xml</t>
  </si>
  <si>
    <t>ACBB_Mons.2020</t>
  </si>
  <si>
    <t>T5_2020_a1_tec.xml</t>
  </si>
  <si>
    <t>T5_2020_b1_tec.xml</t>
  </si>
  <si>
    <t>ACBB_Mons.2021</t>
  </si>
  <si>
    <t>T5_2021_b1_tec.xml</t>
  </si>
  <si>
    <t>lev</t>
  </si>
  <si>
    <t>jultrav_4</t>
  </si>
  <si>
    <t>profres_4</t>
  </si>
  <si>
    <t>proftrav_4</t>
  </si>
  <si>
    <t>julfauche_1</t>
  </si>
  <si>
    <t>tempfauche_1</t>
  </si>
  <si>
    <t>hautcoupe_1</t>
  </si>
  <si>
    <t>lairesiduel_1</t>
  </si>
  <si>
    <t>msresiduel_1</t>
  </si>
  <si>
    <t>anitcoupe_1</t>
  </si>
  <si>
    <t>engraiscoupe_1</t>
  </si>
  <si>
    <t>tauxexportfauche_1</t>
  </si>
  <si>
    <t>restit_1</t>
  </si>
  <si>
    <t>mscoupemini_1</t>
  </si>
  <si>
    <t>julfauche_2</t>
  </si>
  <si>
    <t>tempfauche_2</t>
  </si>
  <si>
    <t>hautcoupe_2</t>
  </si>
  <si>
    <t>lairesiduel_2</t>
  </si>
  <si>
    <t>msresiduel_2</t>
  </si>
  <si>
    <t>anitcoupe_2</t>
  </si>
  <si>
    <t>engraiscoupe_2</t>
  </si>
  <si>
    <t>tauxexportfauche_2</t>
  </si>
  <si>
    <t>restit_2</t>
  </si>
  <si>
    <t>mscoupemini_2</t>
  </si>
  <si>
    <t>julfauche_3</t>
  </si>
  <si>
    <t>tempfauche_3</t>
  </si>
  <si>
    <t>hautcoupe_3</t>
  </si>
  <si>
    <t>lairesiduel_3</t>
  </si>
  <si>
    <t>msresiduel_3</t>
  </si>
  <si>
    <t>anitcoupe_3</t>
  </si>
  <si>
    <t>engraiscoupe_3</t>
  </si>
  <si>
    <t>tauxexportfauche_3</t>
  </si>
  <si>
    <t>restit_3</t>
  </si>
  <si>
    <t>mscoupemini_3</t>
  </si>
  <si>
    <t>straw+roots</t>
  </si>
  <si>
    <t>rec</t>
  </si>
  <si>
    <t>whole_crop</t>
  </si>
  <si>
    <t>01_T5_2009_b1</t>
  </si>
  <si>
    <t>02_T5_2010_a1</t>
  </si>
  <si>
    <t>03_T5_2010_b1</t>
  </si>
  <si>
    <t>proto_barley_plt.xml</t>
  </si>
  <si>
    <t>corn_v10_plt.xml</t>
  </si>
  <si>
    <t>alfalfa_v10_plt.xml</t>
  </si>
  <si>
    <t>fobs_2</t>
  </si>
  <si>
    <t>02_T5_2010_a1.obs</t>
  </si>
  <si>
    <t>03_T5_2010_b1.obs</t>
  </si>
  <si>
    <t>roots</t>
  </si>
  <si>
    <t>04_T5_2011_b1</t>
  </si>
  <si>
    <t>05_T5_2012_b1</t>
  </si>
  <si>
    <t>06_T5_2013_a1</t>
  </si>
  <si>
    <t>07_T5_2013_b1</t>
  </si>
  <si>
    <t>08_T5_2014_a1</t>
  </si>
  <si>
    <t>09_T5_2014_b1</t>
  </si>
  <si>
    <t>10_T5_2015_b1</t>
  </si>
  <si>
    <t>11_T5_2016_a1</t>
  </si>
  <si>
    <t>12_T5_2016_b1</t>
  </si>
  <si>
    <t>13_T5_2017_b1</t>
  </si>
  <si>
    <t>14_T5_2018_b1</t>
  </si>
  <si>
    <t>15_T5_2019_a1</t>
  </si>
  <si>
    <t>16_T5_2019_b1</t>
  </si>
  <si>
    <t>17_T5_2020_a1</t>
  </si>
  <si>
    <t>18_T5_2020_b1</t>
  </si>
  <si>
    <t>19_T5_2021_b1</t>
  </si>
  <si>
    <t>04_T5_2011_b1.obs</t>
  </si>
  <si>
    <t>05_T5_2012_b1.obs</t>
  </si>
  <si>
    <t>06_T5_2013_a1.obs</t>
  </si>
  <si>
    <t>07_T5_2013_b1.obs</t>
  </si>
  <si>
    <t>08_T5_2014_a1.obs</t>
  </si>
  <si>
    <t>09_T5_2014_b1.obs</t>
  </si>
  <si>
    <t>10_T5_2015_b1.obs</t>
  </si>
  <si>
    <t>11_T5_2016_a1.obs</t>
  </si>
  <si>
    <t>12_T5_2016_b1.obs</t>
  </si>
  <si>
    <t>13_T5_2017_b1.obs</t>
  </si>
  <si>
    <t>14_T5_2018_b1.obs</t>
  </si>
  <si>
    <t>15_T5_2019_a1.obs</t>
  </si>
  <si>
    <t>16_T5_2019_b1.obs</t>
  </si>
  <si>
    <t>17_T5_2020_a1.obs</t>
  </si>
  <si>
    <t>18_T5_2020_b1.obs</t>
  </si>
  <si>
    <t>19_T5_2021_b1.obs</t>
  </si>
  <si>
    <t>pea_v10_plt.xml</t>
  </si>
  <si>
    <t>rapeseed_v10_plt.xml</t>
  </si>
  <si>
    <t>catch crops</t>
  </si>
  <si>
    <t>alfalfa</t>
  </si>
  <si>
    <t>Sowing preparation</t>
  </si>
  <si>
    <t>Weed control</t>
  </si>
  <si>
    <t>Residues burial</t>
  </si>
  <si>
    <t>baresoil_plt.xml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</si>
</sst>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32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0"/>
      <name val="Arial"/>
      <family val="2"/>
      <charset val="1"/>
    </font>
    <font>
      <sz val="8"/>
      <name val="Calibri"/>
      <family val="2"/>
      <charset val="1"/>
    </font>
    <font>
      <sz val="11"/>
      <name val="Calibri"/>
      <family val="2"/>
    </font>
    <font>
      <sz val="11"/>
      <color theme="5"/>
      <name val="Calibri"/>
      <family val="2"/>
      <charset val="1"/>
    </font>
    <font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7030A0"/>
      <name val="Calibri"/>
      <family val="2"/>
      <charset val="1"/>
    </font>
    <font>
      <sz val="11"/>
      <color rgb="FF7030A0"/>
      <name val="Calibri"/>
      <family val="2"/>
    </font>
    <font>
      <sz val="10"/>
      <color rgb="FF7030A0"/>
      <name val="Arial"/>
      <family val="2"/>
      <charset val="1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4"/>
      <name val="Calibri"/>
      <family val="2"/>
    </font>
    <font>
      <sz val="11"/>
      <color theme="9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i/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E2F0D9"/>
        <bgColor rgb="FFEDEDED"/>
      </patternFill>
    </fill>
    <fill>
      <patternFill patternType="solid">
        <fgColor rgb="FFC5E0B4"/>
        <bgColor rgb="FFD0CECE"/>
      </patternFill>
    </fill>
    <fill>
      <patternFill patternType="solid">
        <fgColor rgb="FFA9D18E"/>
        <bgColor rgb="FFC5E0B4"/>
      </patternFill>
    </fill>
    <fill>
      <patternFill patternType="solid">
        <fgColor rgb="FFD0CECE"/>
        <bgColor rgb="FFD6DCE5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7C9C9"/>
      </patternFill>
    </fill>
    <fill>
      <patternFill patternType="solid">
        <fgColor rgb="FFDEEBF7"/>
        <bgColor rgb="FFDAE3F3"/>
      </patternFill>
    </fill>
    <fill>
      <patternFill patternType="solid">
        <fgColor theme="7" tint="0.79998168889431442"/>
        <bgColor rgb="FFC5E0B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E91FD"/>
        <bgColor indexed="64"/>
      </patternFill>
    </fill>
    <fill>
      <patternFill patternType="solid">
        <fgColor rgb="FFF999FB"/>
        <bgColor indexed="64"/>
      </patternFill>
    </fill>
    <fill>
      <patternFill patternType="solid">
        <fgColor rgb="FFF88C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7C9C9"/>
        <bgColor indexed="64"/>
      </patternFill>
    </fill>
    <fill>
      <patternFill patternType="solid">
        <fgColor rgb="FFFFD966"/>
        <bgColor rgb="FFFFE699"/>
      </patternFill>
    </fill>
    <fill>
      <patternFill patternType="solid">
        <fgColor rgb="FF87F1A0"/>
        <bgColor indexed="64"/>
      </patternFill>
    </fill>
  </fills>
  <borders count="9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35">
    <xf numFmtId="0" fontId="0" fillId="0" borderId="0" xfId="0"/>
    <xf numFmtId="0" fontId="0" fillId="0" borderId="1" xfId="0" applyBorder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0" xfId="0" applyFont="1"/>
    <xf numFmtId="0" fontId="12" fillId="0" borderId="0" xfId="0" applyFont="1"/>
    <xf numFmtId="0" fontId="12" fillId="0" borderId="4" xfId="0" applyFont="1" applyBorder="1"/>
    <xf numFmtId="0" fontId="13" fillId="0" borderId="0" xfId="0" applyFont="1"/>
    <xf numFmtId="0" fontId="7" fillId="0" borderId="0" xfId="0" applyFont="1"/>
    <xf numFmtId="0" fontId="7" fillId="0" borderId="4" xfId="0" applyFont="1" applyBorder="1"/>
    <xf numFmtId="0" fontId="7" fillId="0" borderId="5" xfId="0" applyFont="1" applyBorder="1"/>
    <xf numFmtId="164" fontId="7" fillId="0" borderId="0" xfId="0" applyNumberFormat="1" applyFont="1"/>
    <xf numFmtId="0" fontId="13" fillId="0" borderId="4" xfId="0" applyFont="1" applyBorder="1"/>
    <xf numFmtId="1" fontId="13" fillId="0" borderId="0" xfId="0" applyNumberFormat="1" applyFont="1"/>
    <xf numFmtId="164" fontId="7" fillId="0" borderId="4" xfId="0" applyNumberFormat="1" applyFont="1" applyBorder="1"/>
    <xf numFmtId="0" fontId="0" fillId="0" borderId="4" xfId="0" applyBorder="1" applyAlignment="1">
      <alignment horizontal="center"/>
    </xf>
    <xf numFmtId="164" fontId="0" fillId="0" borderId="0" xfId="0" applyNumberFormat="1"/>
    <xf numFmtId="165" fontId="13" fillId="0" borderId="0" xfId="0" applyNumberFormat="1" applyFont="1"/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6" fontId="0" fillId="0" borderId="0" xfId="0" applyNumberFormat="1"/>
    <xf numFmtId="0" fontId="18" fillId="0" borderId="0" xfId="1" applyFont="1"/>
    <xf numFmtId="1" fontId="0" fillId="0" borderId="4" xfId="0" applyNumberFormat="1" applyBorder="1"/>
    <xf numFmtId="1" fontId="0" fillId="0" borderId="5" xfId="0" applyNumberFormat="1" applyBorder="1"/>
    <xf numFmtId="1" fontId="0" fillId="0" borderId="0" xfId="0" applyNumberFormat="1"/>
    <xf numFmtId="2" fontId="0" fillId="0" borderId="4" xfId="0" applyNumberFormat="1" applyBorder="1"/>
    <xf numFmtId="0" fontId="6" fillId="0" borderId="0" xfId="1"/>
    <xf numFmtId="0" fontId="6" fillId="2" borderId="7" xfId="1" applyFill="1" applyBorder="1" applyAlignment="1">
      <alignment horizontal="left" vertical="center"/>
    </xf>
    <xf numFmtId="0" fontId="6" fillId="12" borderId="6" xfId="1" applyFill="1" applyBorder="1" applyAlignment="1">
      <alignment horizontal="left" vertical="center"/>
    </xf>
    <xf numFmtId="0" fontId="6" fillId="12" borderId="7" xfId="1" applyFill="1" applyBorder="1" applyAlignment="1">
      <alignment horizontal="left" vertical="center"/>
    </xf>
    <xf numFmtId="0" fontId="6" fillId="13" borderId="7" xfId="1" applyFill="1" applyBorder="1" applyAlignment="1">
      <alignment horizontal="left" vertical="center"/>
    </xf>
    <xf numFmtId="0" fontId="6" fillId="14" borderId="7" xfId="1" applyFill="1" applyBorder="1" applyAlignment="1">
      <alignment horizontal="left" vertical="center"/>
    </xf>
    <xf numFmtId="0" fontId="6" fillId="15" borderId="6" xfId="1" applyFill="1" applyBorder="1" applyAlignment="1">
      <alignment horizontal="left" vertical="center"/>
    </xf>
    <xf numFmtId="0" fontId="6" fillId="15" borderId="7" xfId="1" applyFill="1" applyBorder="1" applyAlignment="1">
      <alignment horizontal="left" vertical="center"/>
    </xf>
    <xf numFmtId="0" fontId="6" fillId="14" borderId="6" xfId="1" applyFill="1" applyBorder="1" applyAlignment="1">
      <alignment horizontal="left" vertical="center"/>
    </xf>
    <xf numFmtId="0" fontId="6" fillId="16" borderId="6" xfId="1" applyFill="1" applyBorder="1" applyAlignment="1">
      <alignment horizontal="left" vertical="center"/>
    </xf>
    <xf numFmtId="0" fontId="6" fillId="17" borderId="6" xfId="1" applyFill="1" applyBorder="1" applyAlignment="1">
      <alignment horizontal="left" vertical="center"/>
    </xf>
    <xf numFmtId="0" fontId="6" fillId="0" borderId="0" xfId="1" applyAlignment="1">
      <alignment horizontal="left" vertical="center"/>
    </xf>
    <xf numFmtId="0" fontId="6" fillId="0" borderId="4" xfId="1" applyBorder="1"/>
    <xf numFmtId="0" fontId="7" fillId="2" borderId="2" xfId="1" applyFont="1" applyFill="1" applyBorder="1" applyAlignment="1">
      <alignment horizontal="left" vertical="center"/>
    </xf>
    <xf numFmtId="0" fontId="7" fillId="4" borderId="2" xfId="1" applyFont="1" applyFill="1" applyBorder="1" applyAlignment="1">
      <alignment horizontal="left" vertical="center"/>
    </xf>
    <xf numFmtId="0" fontId="6" fillId="18" borderId="2" xfId="1" applyFill="1" applyBorder="1" applyAlignment="1">
      <alignment horizontal="left" vertical="center"/>
    </xf>
    <xf numFmtId="0" fontId="6" fillId="16" borderId="3" xfId="1" applyFill="1" applyBorder="1" applyAlignment="1">
      <alignment horizontal="left" vertical="center"/>
    </xf>
    <xf numFmtId="0" fontId="18" fillId="5" borderId="3" xfId="1" applyFont="1" applyFill="1" applyBorder="1" applyAlignment="1">
      <alignment horizontal="left" vertical="center"/>
    </xf>
    <xf numFmtId="0" fontId="7" fillId="5" borderId="3" xfId="1" applyFont="1" applyFill="1" applyBorder="1" applyAlignment="1">
      <alignment horizontal="left" vertical="center"/>
    </xf>
    <xf numFmtId="0" fontId="7" fillId="5" borderId="2" xfId="1" applyFont="1" applyFill="1" applyBorder="1" applyAlignment="1">
      <alignment horizontal="left" vertical="center"/>
    </xf>
    <xf numFmtId="0" fontId="6" fillId="19" borderId="3" xfId="1" applyFill="1" applyBorder="1" applyAlignment="1">
      <alignment horizontal="left" vertical="center"/>
    </xf>
    <xf numFmtId="0" fontId="7" fillId="8" borderId="3" xfId="1" applyFont="1" applyFill="1" applyBorder="1" applyAlignment="1">
      <alignment horizontal="left" vertical="center"/>
    </xf>
    <xf numFmtId="0" fontId="7" fillId="8" borderId="2" xfId="1" applyFont="1" applyFill="1" applyBorder="1" applyAlignment="1">
      <alignment horizontal="left" vertical="center"/>
    </xf>
    <xf numFmtId="0" fontId="6" fillId="20" borderId="3" xfId="1" applyFill="1" applyBorder="1" applyAlignment="1">
      <alignment horizontal="left" vertical="center"/>
    </xf>
    <xf numFmtId="0" fontId="6" fillId="20" borderId="2" xfId="1" applyFill="1" applyBorder="1" applyAlignment="1">
      <alignment horizontal="left" vertical="center"/>
    </xf>
    <xf numFmtId="0" fontId="6" fillId="21" borderId="3" xfId="1" applyFill="1" applyBorder="1" applyAlignment="1">
      <alignment horizontal="left" vertical="center"/>
    </xf>
    <xf numFmtId="0" fontId="6" fillId="22" borderId="3" xfId="1" applyFill="1" applyBorder="1" applyAlignment="1">
      <alignment horizontal="left" vertical="center"/>
    </xf>
    <xf numFmtId="0" fontId="7" fillId="0" borderId="0" xfId="1" applyFont="1"/>
    <xf numFmtId="0" fontId="7" fillId="0" borderId="4" xfId="1" applyFont="1" applyBorder="1"/>
    <xf numFmtId="1" fontId="7" fillId="0" borderId="0" xfId="1" applyNumberFormat="1" applyFont="1"/>
    <xf numFmtId="164" fontId="7" fillId="0" borderId="0" xfId="1" applyNumberFormat="1" applyFont="1"/>
    <xf numFmtId="164" fontId="7" fillId="0" borderId="4" xfId="1" applyNumberFormat="1" applyFont="1" applyBorder="1"/>
    <xf numFmtId="0" fontId="7" fillId="2" borderId="7" xfId="1" applyFont="1" applyFill="1" applyBorder="1" applyAlignment="1">
      <alignment horizontal="left" vertical="center"/>
    </xf>
    <xf numFmtId="0" fontId="16" fillId="23" borderId="6" xfId="1" applyFont="1" applyFill="1" applyBorder="1" applyAlignment="1">
      <alignment horizontal="center" vertical="center" wrapText="1"/>
    </xf>
    <xf numFmtId="0" fontId="20" fillId="37" borderId="6" xfId="1" applyFont="1" applyFill="1" applyBorder="1" applyAlignment="1">
      <alignment horizontal="center" vertical="center" wrapText="1"/>
    </xf>
    <xf numFmtId="0" fontId="16" fillId="23" borderId="7" xfId="1" applyFont="1" applyFill="1" applyBorder="1" applyAlignment="1">
      <alignment horizontal="center" vertical="center" wrapText="1"/>
    </xf>
    <xf numFmtId="0" fontId="16" fillId="24" borderId="7" xfId="1" applyFont="1" applyFill="1" applyBorder="1" applyAlignment="1">
      <alignment horizontal="center" vertical="center" wrapText="1"/>
    </xf>
    <xf numFmtId="0" fontId="16" fillId="25" borderId="7" xfId="1" applyFont="1" applyFill="1" applyBorder="1" applyAlignment="1">
      <alignment horizontal="center" vertical="center" wrapText="1"/>
    </xf>
    <xf numFmtId="0" fontId="16" fillId="16" borderId="7" xfId="1" applyFont="1" applyFill="1" applyBorder="1" applyAlignment="1">
      <alignment horizontal="center" vertical="center" wrapText="1"/>
    </xf>
    <xf numFmtId="0" fontId="16" fillId="26" borderId="6" xfId="1" applyFont="1" applyFill="1" applyBorder="1" applyAlignment="1">
      <alignment horizontal="center" vertical="center" wrapText="1"/>
    </xf>
    <xf numFmtId="0" fontId="16" fillId="26" borderId="7" xfId="1" applyFont="1" applyFill="1" applyBorder="1" applyAlignment="1">
      <alignment horizontal="center" vertical="center" wrapText="1"/>
    </xf>
    <xf numFmtId="0" fontId="16" fillId="27" borderId="6" xfId="1" applyFont="1" applyFill="1" applyBorder="1" applyAlignment="1">
      <alignment horizontal="center" vertical="center" wrapText="1"/>
    </xf>
    <xf numFmtId="0" fontId="16" fillId="27" borderId="7" xfId="1" applyFont="1" applyFill="1" applyBorder="1" applyAlignment="1">
      <alignment horizontal="center" vertical="center" wrapText="1"/>
    </xf>
    <xf numFmtId="0" fontId="16" fillId="28" borderId="7" xfId="1" applyFont="1" applyFill="1" applyBorder="1" applyAlignment="1">
      <alignment horizontal="center" vertical="center" wrapText="1"/>
    </xf>
    <xf numFmtId="0" fontId="16" fillId="29" borderId="6" xfId="1" applyFont="1" applyFill="1" applyBorder="1" applyAlignment="1">
      <alignment horizontal="center" vertical="center" wrapText="1"/>
    </xf>
    <xf numFmtId="0" fontId="16" fillId="29" borderId="7" xfId="1" applyFont="1" applyFill="1" applyBorder="1" applyAlignment="1">
      <alignment horizontal="center" vertical="center" wrapText="1"/>
    </xf>
    <xf numFmtId="0" fontId="10" fillId="18" borderId="6" xfId="1" applyFont="1" applyFill="1" applyBorder="1" applyAlignment="1">
      <alignment horizontal="center" vertical="center" wrapText="1"/>
    </xf>
    <xf numFmtId="0" fontId="10" fillId="18" borderId="7" xfId="1" applyFont="1" applyFill="1" applyBorder="1" applyAlignment="1">
      <alignment horizontal="center" vertical="center" wrapText="1"/>
    </xf>
    <xf numFmtId="0" fontId="10" fillId="30" borderId="6" xfId="1" applyFont="1" applyFill="1" applyBorder="1" applyAlignment="1">
      <alignment horizontal="center" vertical="center" wrapText="1"/>
    </xf>
    <xf numFmtId="0" fontId="10" fillId="30" borderId="7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6" fillId="2" borderId="6" xfId="1" applyFill="1" applyBorder="1" applyAlignment="1">
      <alignment horizontal="left" vertical="center"/>
    </xf>
    <xf numFmtId="0" fontId="19" fillId="9" borderId="6" xfId="1" applyFont="1" applyFill="1" applyBorder="1"/>
    <xf numFmtId="0" fontId="10" fillId="9" borderId="6" xfId="1" applyFont="1" applyFill="1" applyBorder="1"/>
    <xf numFmtId="0" fontId="6" fillId="17" borderId="6" xfId="1" applyFill="1" applyBorder="1"/>
    <xf numFmtId="0" fontId="17" fillId="17" borderId="6" xfId="1" applyFont="1" applyFill="1" applyBorder="1"/>
    <xf numFmtId="0" fontId="6" fillId="6" borderId="6" xfId="1" applyFill="1" applyBorder="1"/>
    <xf numFmtId="0" fontId="6" fillId="6" borderId="7" xfId="1" applyFill="1" applyBorder="1"/>
    <xf numFmtId="0" fontId="6" fillId="16" borderId="6" xfId="1" applyFill="1" applyBorder="1"/>
    <xf numFmtId="0" fontId="6" fillId="27" borderId="6" xfId="1" applyFill="1" applyBorder="1"/>
    <xf numFmtId="0" fontId="19" fillId="10" borderId="6" xfId="1" applyFont="1" applyFill="1" applyBorder="1"/>
    <xf numFmtId="0" fontId="7" fillId="27" borderId="7" xfId="1" applyFont="1" applyFill="1" applyBorder="1"/>
    <xf numFmtId="0" fontId="7" fillId="27" borderId="6" xfId="1" applyFont="1" applyFill="1" applyBorder="1"/>
    <xf numFmtId="0" fontId="7" fillId="19" borderId="6" xfId="1" applyFont="1" applyFill="1" applyBorder="1"/>
    <xf numFmtId="0" fontId="7" fillId="19" borderId="7" xfId="1" applyFont="1" applyFill="1" applyBorder="1"/>
    <xf numFmtId="0" fontId="7" fillId="13" borderId="6" xfId="1" applyFont="1" applyFill="1" applyBorder="1"/>
    <xf numFmtId="0" fontId="10" fillId="13" borderId="6" xfId="1" applyFont="1" applyFill="1" applyBorder="1"/>
    <xf numFmtId="0" fontId="7" fillId="13" borderId="7" xfId="1" applyFont="1" applyFill="1" applyBorder="1"/>
    <xf numFmtId="0" fontId="7" fillId="7" borderId="6" xfId="1" applyFont="1" applyFill="1" applyBorder="1"/>
    <xf numFmtId="0" fontId="10" fillId="7" borderId="6" xfId="1" applyFont="1" applyFill="1" applyBorder="1"/>
    <xf numFmtId="0" fontId="19" fillId="7" borderId="6" xfId="1" applyFont="1" applyFill="1" applyBorder="1"/>
    <xf numFmtId="0" fontId="19" fillId="7" borderId="7" xfId="1" applyFont="1" applyFill="1" applyBorder="1"/>
    <xf numFmtId="0" fontId="7" fillId="18" borderId="6" xfId="1" applyFont="1" applyFill="1" applyBorder="1"/>
    <xf numFmtId="0" fontId="7" fillId="18" borderId="7" xfId="1" applyFont="1" applyFill="1" applyBorder="1"/>
    <xf numFmtId="0" fontId="7" fillId="32" borderId="6" xfId="1" applyFont="1" applyFill="1" applyBorder="1"/>
    <xf numFmtId="0" fontId="7" fillId="32" borderId="7" xfId="1" applyFont="1" applyFill="1" applyBorder="1"/>
    <xf numFmtId="0" fontId="6" fillId="33" borderId="8" xfId="1" applyFill="1" applyBorder="1"/>
    <xf numFmtId="0" fontId="6" fillId="34" borderId="6" xfId="1" applyFill="1" applyBorder="1"/>
    <xf numFmtId="0" fontId="6" fillId="34" borderId="7" xfId="1" applyFill="1" applyBorder="1"/>
    <xf numFmtId="0" fontId="7" fillId="17" borderId="6" xfId="1" applyFont="1" applyFill="1" applyBorder="1"/>
    <xf numFmtId="0" fontId="18" fillId="17" borderId="6" xfId="1" applyFont="1" applyFill="1" applyBorder="1"/>
    <xf numFmtId="0" fontId="7" fillId="17" borderId="7" xfId="1" applyFont="1" applyFill="1" applyBorder="1"/>
    <xf numFmtId="0" fontId="17" fillId="38" borderId="3" xfId="0" applyFont="1" applyFill="1" applyBorder="1"/>
    <xf numFmtId="0" fontId="17" fillId="38" borderId="2" xfId="0" applyFont="1" applyFill="1" applyBorder="1"/>
    <xf numFmtId="0" fontId="7" fillId="31" borderId="6" xfId="1" applyFont="1" applyFill="1" applyBorder="1"/>
    <xf numFmtId="0" fontId="7" fillId="31" borderId="7" xfId="1" applyFont="1" applyFill="1" applyBorder="1"/>
    <xf numFmtId="0" fontId="7" fillId="29" borderId="6" xfId="1" applyFont="1" applyFill="1" applyBorder="1"/>
    <xf numFmtId="0" fontId="7" fillId="29" borderId="7" xfId="1" applyFont="1" applyFill="1" applyBorder="1"/>
    <xf numFmtId="0" fontId="7" fillId="16" borderId="8" xfId="1" applyFont="1" applyFill="1" applyBorder="1"/>
    <xf numFmtId="0" fontId="7" fillId="26" borderId="7" xfId="1" applyFont="1" applyFill="1" applyBorder="1"/>
    <xf numFmtId="0" fontId="7" fillId="22" borderId="6" xfId="1" applyFont="1" applyFill="1" applyBorder="1"/>
    <xf numFmtId="0" fontId="7" fillId="22" borderId="7" xfId="1" applyFont="1" applyFill="1" applyBorder="1"/>
    <xf numFmtId="0" fontId="7" fillId="35" borderId="6" xfId="1" applyFont="1" applyFill="1" applyBorder="1"/>
    <xf numFmtId="0" fontId="7" fillId="35" borderId="7" xfId="1" applyFont="1" applyFill="1" applyBorder="1"/>
    <xf numFmtId="0" fontId="6" fillId="18" borderId="6" xfId="1" applyFill="1" applyBorder="1"/>
    <xf numFmtId="0" fontId="6" fillId="18" borderId="7" xfId="1" applyFill="1" applyBorder="1"/>
    <xf numFmtId="0" fontId="19" fillId="11" borderId="6" xfId="1" applyFont="1" applyFill="1" applyBorder="1"/>
    <xf numFmtId="0" fontId="19" fillId="11" borderId="7" xfId="1" applyFont="1" applyFill="1" applyBorder="1"/>
    <xf numFmtId="1" fontId="6" fillId="0" borderId="0" xfId="1" applyNumberFormat="1"/>
    <xf numFmtId="0" fontId="6" fillId="2" borderId="2" xfId="1" applyFill="1" applyBorder="1"/>
    <xf numFmtId="0" fontId="6" fillId="13" borderId="3" xfId="1" applyFill="1" applyBorder="1"/>
    <xf numFmtId="0" fontId="18" fillId="3" borderId="3" xfId="1" applyFont="1" applyFill="1" applyBorder="1"/>
    <xf numFmtId="0" fontId="6" fillId="13" borderId="2" xfId="1" applyFill="1" applyBorder="1"/>
    <xf numFmtId="0" fontId="6" fillId="27" borderId="3" xfId="1" applyFill="1" applyBorder="1"/>
    <xf numFmtId="0" fontId="6" fillId="27" borderId="2" xfId="1" applyFill="1" applyBorder="1"/>
    <xf numFmtId="0" fontId="6" fillId="36" borderId="3" xfId="1" applyFill="1" applyBorder="1"/>
    <xf numFmtId="0" fontId="6" fillId="36" borderId="2" xfId="1" applyFill="1" applyBorder="1"/>
    <xf numFmtId="0" fontId="6" fillId="14" borderId="3" xfId="1" applyFill="1" applyBorder="1"/>
    <xf numFmtId="0" fontId="6" fillId="14" borderId="2" xfId="1" applyFill="1" applyBorder="1"/>
    <xf numFmtId="164" fontId="6" fillId="0" borderId="0" xfId="1" applyNumberFormat="1"/>
    <xf numFmtId="2" fontId="6" fillId="0" borderId="0" xfId="1" applyNumberFormat="1"/>
    <xf numFmtId="0" fontId="5" fillId="0" borderId="0" xfId="1" applyFont="1"/>
    <xf numFmtId="0" fontId="5" fillId="16" borderId="7" xfId="1" applyFont="1" applyFill="1" applyBorder="1" applyAlignment="1">
      <alignment horizontal="left" vertical="center"/>
    </xf>
    <xf numFmtId="0" fontId="5" fillId="17" borderId="7" xfId="1" applyFont="1" applyFill="1" applyBorder="1" applyAlignment="1">
      <alignment horizontal="left" vertical="center"/>
    </xf>
    <xf numFmtId="0" fontId="4" fillId="0" borderId="0" xfId="1" applyFont="1"/>
    <xf numFmtId="1" fontId="19" fillId="0" borderId="0" xfId="1" applyNumberFormat="1" applyFont="1"/>
    <xf numFmtId="1" fontId="10" fillId="0" borderId="0" xfId="0" applyNumberFormat="1" applyFont="1"/>
    <xf numFmtId="1" fontId="10" fillId="0" borderId="4" xfId="0" applyNumberFormat="1" applyFont="1" applyBorder="1"/>
    <xf numFmtId="1" fontId="19" fillId="0" borderId="0" xfId="0" applyNumberFormat="1" applyFont="1"/>
    <xf numFmtId="1" fontId="6" fillId="0" borderId="4" xfId="1" applyNumberFormat="1" applyBorder="1"/>
    <xf numFmtId="1" fontId="19" fillId="0" borderId="4" xfId="1" applyNumberFormat="1" applyFont="1" applyBorder="1"/>
    <xf numFmtId="1" fontId="18" fillId="0" borderId="0" xfId="1" applyNumberFormat="1" applyFont="1"/>
    <xf numFmtId="1" fontId="17" fillId="0" borderId="0" xfId="0" applyNumberFormat="1" applyFont="1"/>
    <xf numFmtId="1" fontId="17" fillId="0" borderId="4" xfId="0" applyNumberFormat="1" applyFont="1" applyBorder="1"/>
    <xf numFmtId="0" fontId="3" fillId="0" borderId="4" xfId="1" applyFont="1" applyBorder="1"/>
    <xf numFmtId="0" fontId="2" fillId="0" borderId="4" xfId="1" applyFont="1" applyBorder="1"/>
    <xf numFmtId="1" fontId="22" fillId="0" borderId="0" xfId="1" applyNumberFormat="1" applyFont="1"/>
    <xf numFmtId="1" fontId="21" fillId="0" borderId="0" xfId="1" applyNumberFormat="1" applyFont="1"/>
    <xf numFmtId="1" fontId="23" fillId="0" borderId="0" xfId="1" applyNumberFormat="1" applyFont="1"/>
    <xf numFmtId="1" fontId="24" fillId="0" borderId="0" xfId="1" applyNumberFormat="1" applyFont="1"/>
    <xf numFmtId="0" fontId="25" fillId="0" borderId="0" xfId="0" applyFont="1"/>
    <xf numFmtId="0" fontId="26" fillId="0" borderId="0" xfId="0" applyFont="1"/>
    <xf numFmtId="0" fontId="24" fillId="0" borderId="0" xfId="1" applyFont="1"/>
    <xf numFmtId="0" fontId="6" fillId="14" borderId="4" xfId="1" applyFill="1" applyBorder="1"/>
    <xf numFmtId="0" fontId="6" fillId="14" borderId="0" xfId="1" applyFill="1"/>
    <xf numFmtId="0" fontId="5" fillId="14" borderId="0" xfId="1" applyFont="1" applyFill="1"/>
    <xf numFmtId="0" fontId="3" fillId="14" borderId="4" xfId="1" applyFont="1" applyFill="1" applyBorder="1"/>
    <xf numFmtId="0" fontId="2" fillId="14" borderId="4" xfId="1" applyFont="1" applyFill="1" applyBorder="1"/>
    <xf numFmtId="0" fontId="0" fillId="14" borderId="0" xfId="0" applyFill="1"/>
    <xf numFmtId="1" fontId="6" fillId="14" borderId="0" xfId="1" applyNumberFormat="1" applyFill="1"/>
    <xf numFmtId="1" fontId="19" fillId="14" borderId="0" xfId="1" applyNumberFormat="1" applyFont="1" applyFill="1"/>
    <xf numFmtId="1" fontId="21" fillId="14" borderId="0" xfId="1" applyNumberFormat="1" applyFont="1" applyFill="1"/>
    <xf numFmtId="1" fontId="0" fillId="14" borderId="0" xfId="0" applyNumberFormat="1" applyFill="1"/>
    <xf numFmtId="1" fontId="10" fillId="14" borderId="0" xfId="0" applyNumberFormat="1" applyFont="1" applyFill="1"/>
    <xf numFmtId="1" fontId="10" fillId="14" borderId="4" xfId="0" applyNumberFormat="1" applyFont="1" applyFill="1" applyBorder="1"/>
    <xf numFmtId="1" fontId="19" fillId="14" borderId="0" xfId="0" applyNumberFormat="1" applyFont="1" applyFill="1"/>
    <xf numFmtId="1" fontId="0" fillId="14" borderId="4" xfId="0" applyNumberFormat="1" applyFill="1" applyBorder="1"/>
    <xf numFmtId="1" fontId="6" fillId="14" borderId="4" xfId="1" applyNumberFormat="1" applyFill="1" applyBorder="1"/>
    <xf numFmtId="1" fontId="19" fillId="14" borderId="4" xfId="1" applyNumberFormat="1" applyFont="1" applyFill="1" applyBorder="1"/>
    <xf numFmtId="1" fontId="18" fillId="14" borderId="0" xfId="1" applyNumberFormat="1" applyFont="1" applyFill="1"/>
    <xf numFmtId="1" fontId="17" fillId="14" borderId="0" xfId="0" applyNumberFormat="1" applyFont="1" applyFill="1"/>
    <xf numFmtId="1" fontId="17" fillId="14" borderId="4" xfId="0" applyNumberFormat="1" applyFont="1" applyFill="1" applyBorder="1"/>
    <xf numFmtId="1" fontId="0" fillId="14" borderId="5" xfId="0" applyNumberFormat="1" applyFill="1" applyBorder="1"/>
    <xf numFmtId="0" fontId="0" fillId="14" borderId="4" xfId="0" applyFill="1" applyBorder="1"/>
    <xf numFmtId="0" fontId="10" fillId="14" borderId="0" xfId="0" applyFont="1" applyFill="1"/>
    <xf numFmtId="0" fontId="6" fillId="13" borderId="0" xfId="1" applyFill="1"/>
    <xf numFmtId="1" fontId="6" fillId="13" borderId="0" xfId="1" applyNumberFormat="1" applyFill="1"/>
    <xf numFmtId="1" fontId="19" fillId="13" borderId="0" xfId="1" applyNumberFormat="1" applyFont="1" applyFill="1"/>
    <xf numFmtId="1" fontId="22" fillId="13" borderId="0" xfId="1" applyNumberFormat="1" applyFont="1" applyFill="1"/>
    <xf numFmtId="1" fontId="0" fillId="13" borderId="0" xfId="0" applyNumberFormat="1" applyFill="1"/>
    <xf numFmtId="1" fontId="10" fillId="13" borderId="0" xfId="0" applyNumberFormat="1" applyFont="1" applyFill="1"/>
    <xf numFmtId="1" fontId="10" fillId="13" borderId="4" xfId="0" applyNumberFormat="1" applyFont="1" applyFill="1" applyBorder="1"/>
    <xf numFmtId="1" fontId="19" fillId="13" borderId="0" xfId="0" applyNumberFormat="1" applyFont="1" applyFill="1"/>
    <xf numFmtId="1" fontId="0" fillId="13" borderId="4" xfId="0" applyNumberFormat="1" applyFill="1" applyBorder="1"/>
    <xf numFmtId="1" fontId="6" fillId="13" borderId="4" xfId="1" applyNumberFormat="1" applyFill="1" applyBorder="1"/>
    <xf numFmtId="1" fontId="4" fillId="13" borderId="0" xfId="1" applyNumberFormat="1" applyFont="1" applyFill="1"/>
    <xf numFmtId="1" fontId="19" fillId="13" borderId="4" xfId="1" applyNumberFormat="1" applyFont="1" applyFill="1" applyBorder="1"/>
    <xf numFmtId="1" fontId="18" fillId="13" borderId="0" xfId="1" applyNumberFormat="1" applyFont="1" applyFill="1"/>
    <xf numFmtId="1" fontId="17" fillId="13" borderId="0" xfId="0" applyNumberFormat="1" applyFont="1" applyFill="1"/>
    <xf numFmtId="2" fontId="17" fillId="13" borderId="0" xfId="0" applyNumberFormat="1" applyFont="1" applyFill="1"/>
    <xf numFmtId="1" fontId="17" fillId="13" borderId="4" xfId="0" applyNumberFormat="1" applyFont="1" applyFill="1" applyBorder="1"/>
    <xf numFmtId="1" fontId="0" fillId="13" borderId="5" xfId="0" applyNumberFormat="1" applyFill="1" applyBorder="1"/>
    <xf numFmtId="0" fontId="0" fillId="13" borderId="0" xfId="0" applyFill="1"/>
    <xf numFmtId="0" fontId="0" fillId="13" borderId="4" xfId="0" applyFill="1" applyBorder="1"/>
    <xf numFmtId="1" fontId="21" fillId="13" borderId="0" xfId="1" applyNumberFormat="1" applyFont="1" applyFill="1"/>
    <xf numFmtId="0" fontId="6" fillId="21" borderId="0" xfId="1" applyFill="1"/>
    <xf numFmtId="1" fontId="6" fillId="21" borderId="0" xfId="1" applyNumberFormat="1" applyFill="1"/>
    <xf numFmtId="1" fontId="19" fillId="21" borderId="0" xfId="1" applyNumberFormat="1" applyFont="1" applyFill="1"/>
    <xf numFmtId="1" fontId="22" fillId="21" borderId="0" xfId="1" applyNumberFormat="1" applyFont="1" applyFill="1"/>
    <xf numFmtId="1" fontId="0" fillId="21" borderId="0" xfId="0" applyNumberFormat="1" applyFill="1"/>
    <xf numFmtId="1" fontId="10" fillId="21" borderId="0" xfId="0" applyNumberFormat="1" applyFont="1" applyFill="1"/>
    <xf numFmtId="1" fontId="10" fillId="21" borderId="4" xfId="0" applyNumberFormat="1" applyFont="1" applyFill="1" applyBorder="1"/>
    <xf numFmtId="1" fontId="19" fillId="21" borderId="0" xfId="0" applyNumberFormat="1" applyFont="1" applyFill="1"/>
    <xf numFmtId="1" fontId="0" fillId="21" borderId="4" xfId="0" applyNumberFormat="1" applyFill="1" applyBorder="1"/>
    <xf numFmtId="1" fontId="6" fillId="21" borderId="4" xfId="1" applyNumberFormat="1" applyFill="1" applyBorder="1"/>
    <xf numFmtId="1" fontId="19" fillId="21" borderId="4" xfId="1" applyNumberFormat="1" applyFont="1" applyFill="1" applyBorder="1"/>
    <xf numFmtId="1" fontId="18" fillId="21" borderId="0" xfId="1" applyNumberFormat="1" applyFont="1" applyFill="1"/>
    <xf numFmtId="1" fontId="17" fillId="21" borderId="0" xfId="0" applyNumberFormat="1" applyFont="1" applyFill="1"/>
    <xf numFmtId="1" fontId="17" fillId="21" borderId="4" xfId="0" applyNumberFormat="1" applyFont="1" applyFill="1" applyBorder="1"/>
    <xf numFmtId="1" fontId="0" fillId="21" borderId="5" xfId="0" applyNumberFormat="1" applyFill="1" applyBorder="1"/>
    <xf numFmtId="0" fontId="0" fillId="21" borderId="0" xfId="0" applyFill="1"/>
    <xf numFmtId="0" fontId="0" fillId="21" borderId="4" xfId="0" applyFill="1" applyBorder="1"/>
    <xf numFmtId="1" fontId="21" fillId="21" borderId="0" xfId="1" applyNumberFormat="1" applyFont="1" applyFill="1"/>
    <xf numFmtId="0" fontId="27" fillId="14" borderId="0" xfId="1" applyFont="1" applyFill="1"/>
    <xf numFmtId="1" fontId="28" fillId="14" borderId="0" xfId="1" applyNumberFormat="1" applyFont="1" applyFill="1"/>
    <xf numFmtId="1" fontId="29" fillId="14" borderId="0" xfId="1" applyNumberFormat="1" applyFont="1" applyFill="1"/>
    <xf numFmtId="1" fontId="30" fillId="14" borderId="0" xfId="1" applyNumberFormat="1" applyFont="1" applyFill="1"/>
    <xf numFmtId="0" fontId="29" fillId="14" borderId="0" xfId="1" applyFont="1" applyFill="1"/>
    <xf numFmtId="1" fontId="23" fillId="14" borderId="0" xfId="1" applyNumberFormat="1" applyFont="1" applyFill="1"/>
    <xf numFmtId="0" fontId="1" fillId="0" borderId="0" xfId="1" applyFont="1"/>
    <xf numFmtId="1" fontId="31" fillId="13" borderId="0" xfId="0" applyNumberFormat="1" applyFont="1" applyFill="1"/>
    <xf numFmtId="2" fontId="31" fillId="13" borderId="0" xfId="0" applyNumberFormat="1" applyFont="1" applyFill="1"/>
    <xf numFmtId="1" fontId="31" fillId="13" borderId="4" xfId="0" applyNumberFormat="1" applyFont="1" applyFill="1" applyBorder="1"/>
    <xf numFmtId="1" fontId="27" fillId="21" borderId="0" xfId="1" applyNumberFormat="1" applyFont="1" applyFill="1"/>
  </cellXfs>
  <cellStyles count="2">
    <cellStyle name="Normal" xfId="0" builtinId="0"/>
    <cellStyle name="Normal 2" xfId="1" xr:uid="{D57D3DDF-B3D7-4D8D-96F2-26D990720F47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C5E0B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EDEDED"/>
      <rgbColor rgb="FF9E91FD"/>
      <rgbColor rgb="FF993366"/>
      <rgbColor rgb="FFFFF2CC"/>
      <rgbColor rgb="FFDEEBF7"/>
      <rgbColor rgb="FF660066"/>
      <rgbColor rgb="FFF4B183"/>
      <rgbColor rgb="FF0066CC"/>
      <rgbColor rgb="FFB4C7E7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E699"/>
      <rgbColor rgb="FF9DC3E6"/>
      <rgbColor rgb="FFF88CCC"/>
      <rgbColor rgb="FFD0CECE"/>
      <rgbColor rgb="FFF8CBAD"/>
      <rgbColor rgb="FF3366FF"/>
      <rgbColor rgb="FFD6DCE5"/>
      <rgbColor rgb="FFA9D18E"/>
      <rgbColor rgb="FFFFD966"/>
      <rgbColor rgb="FFF7C9C9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4586-98C6-4D87-B68C-EE6F4E5A0D8E}">
  <dimension ref="A1:W21"/>
  <sheetViews>
    <sheetView workbookViewId="0">
      <selection activeCell="L22" sqref="L22"/>
    </sheetView>
  </sheetViews>
  <sheetFormatPr defaultColWidth="11.5546875" defaultRowHeight="14.4" x14ac:dyDescent="0.3"/>
  <cols>
    <col min="1" max="1" width="14" bestFit="1" customWidth="1"/>
    <col min="2" max="2" width="9.33203125" bestFit="1" customWidth="1"/>
    <col min="3" max="3" width="6.77734375" bestFit="1" customWidth="1"/>
    <col min="4" max="4" width="25.6640625" bestFit="1" customWidth="1"/>
    <col min="5" max="5" width="14" bestFit="1" customWidth="1"/>
    <col min="6" max="6" width="18" bestFit="1" customWidth="1"/>
    <col min="7" max="8" width="15.5546875" bestFit="1" customWidth="1"/>
    <col min="9" max="9" width="8.6640625" bestFit="1" customWidth="1"/>
    <col min="10" max="10" width="8.88671875" bestFit="1" customWidth="1"/>
    <col min="11" max="11" width="9.21875" bestFit="1" customWidth="1"/>
    <col min="12" max="12" width="29.44140625" bestFit="1" customWidth="1"/>
    <col min="13" max="13" width="18.109375" bestFit="1" customWidth="1"/>
    <col min="14" max="14" width="5.5546875" bestFit="1" customWidth="1"/>
    <col min="15" max="15" width="17.5546875" bestFit="1" customWidth="1"/>
    <col min="16" max="16" width="5.77734375" bestFit="1" customWidth="1"/>
    <col min="17" max="17" width="6.21875" bestFit="1" customWidth="1"/>
    <col min="18" max="18" width="5.5546875" bestFit="1" customWidth="1"/>
    <col min="19" max="19" width="6.5546875" bestFit="1" customWidth="1"/>
  </cols>
  <sheetData>
    <row r="1" spans="1:23" s="42" customFormat="1" x14ac:dyDescent="0.3">
      <c r="A1" s="32" t="s">
        <v>0</v>
      </c>
      <c r="B1" s="33" t="s">
        <v>1</v>
      </c>
      <c r="C1" s="34" t="s">
        <v>2</v>
      </c>
      <c r="D1" s="35" t="s">
        <v>3</v>
      </c>
      <c r="E1" s="36" t="s">
        <v>4</v>
      </c>
      <c r="F1" s="37" t="s">
        <v>5</v>
      </c>
      <c r="G1" s="37" t="s">
        <v>6</v>
      </c>
      <c r="H1" s="38" t="s">
        <v>7</v>
      </c>
      <c r="I1" s="39" t="s">
        <v>8</v>
      </c>
      <c r="J1" s="39" t="s">
        <v>9</v>
      </c>
      <c r="K1" s="36" t="s">
        <v>10</v>
      </c>
      <c r="L1" s="40" t="s">
        <v>11</v>
      </c>
      <c r="M1" s="40" t="s">
        <v>12</v>
      </c>
      <c r="N1" s="40" t="s">
        <v>13</v>
      </c>
      <c r="O1" s="143" t="s">
        <v>296</v>
      </c>
      <c r="P1" s="41" t="s">
        <v>14</v>
      </c>
      <c r="Q1" s="41" t="s">
        <v>15</v>
      </c>
      <c r="R1" s="40" t="s">
        <v>16</v>
      </c>
      <c r="S1" s="144" t="s">
        <v>378</v>
      </c>
    </row>
    <row r="2" spans="1:23" s="31" customFormat="1" x14ac:dyDescent="0.3">
      <c r="A2" s="43" t="s">
        <v>372</v>
      </c>
      <c r="B2" s="31">
        <v>62</v>
      </c>
      <c r="C2" s="43">
        <v>213</v>
      </c>
      <c r="D2" s="43" t="s">
        <v>297</v>
      </c>
      <c r="E2" s="43" t="s">
        <v>298</v>
      </c>
      <c r="F2" s="31" t="s">
        <v>299</v>
      </c>
      <c r="G2" s="31" t="s">
        <v>300</v>
      </c>
      <c r="H2" s="43" t="s">
        <v>300</v>
      </c>
      <c r="I2" s="31">
        <v>1</v>
      </c>
      <c r="J2" s="31">
        <v>1</v>
      </c>
      <c r="K2" s="43">
        <v>0</v>
      </c>
      <c r="L2" s="230" t="s">
        <v>375</v>
      </c>
      <c r="M2" s="31" t="s">
        <v>301</v>
      </c>
      <c r="N2" s="31" t="s">
        <v>252</v>
      </c>
      <c r="O2" s="43" t="s">
        <v>252</v>
      </c>
      <c r="P2" s="31" t="s">
        <v>252</v>
      </c>
      <c r="Q2" s="31" t="s">
        <v>252</v>
      </c>
      <c r="R2" s="31" t="s">
        <v>252</v>
      </c>
      <c r="S2" s="43" t="s">
        <v>252</v>
      </c>
      <c r="U2" s="142"/>
      <c r="V2" s="142"/>
      <c r="W2" s="142"/>
    </row>
    <row r="3" spans="1:23" s="165" customFormat="1" x14ac:dyDescent="0.3">
      <c r="A3" s="164" t="s">
        <v>373</v>
      </c>
      <c r="B3" s="165">
        <v>214</v>
      </c>
      <c r="C3" s="164">
        <v>425</v>
      </c>
      <c r="D3" s="164" t="s">
        <v>297</v>
      </c>
      <c r="E3" s="164" t="s">
        <v>298</v>
      </c>
      <c r="F3" s="165" t="s">
        <v>299</v>
      </c>
      <c r="G3" s="165" t="s">
        <v>300</v>
      </c>
      <c r="H3" s="164" t="s">
        <v>302</v>
      </c>
      <c r="I3" s="165">
        <v>2</v>
      </c>
      <c r="J3" s="165">
        <v>1</v>
      </c>
      <c r="K3" s="164">
        <v>0</v>
      </c>
      <c r="L3" s="224" t="s">
        <v>421</v>
      </c>
      <c r="M3" s="165" t="s">
        <v>303</v>
      </c>
      <c r="N3" s="165" t="s">
        <v>252</v>
      </c>
      <c r="O3" s="164" t="s">
        <v>379</v>
      </c>
      <c r="P3" s="165" t="s">
        <v>252</v>
      </c>
      <c r="Q3" s="165" t="s">
        <v>252</v>
      </c>
      <c r="R3" s="165" t="s">
        <v>252</v>
      </c>
      <c r="S3" s="164" t="s">
        <v>252</v>
      </c>
      <c r="U3" s="166"/>
      <c r="V3" s="166"/>
    </row>
    <row r="4" spans="1:23" s="31" customFormat="1" x14ac:dyDescent="0.3">
      <c r="A4" s="43" t="s">
        <v>374</v>
      </c>
      <c r="B4" s="31">
        <v>61</v>
      </c>
      <c r="C4" s="43">
        <v>201</v>
      </c>
      <c r="D4" s="43" t="s">
        <v>297</v>
      </c>
      <c r="E4" s="43" t="s">
        <v>298</v>
      </c>
      <c r="F4" s="31" t="s">
        <v>299</v>
      </c>
      <c r="G4" s="31" t="s">
        <v>302</v>
      </c>
      <c r="H4" s="43" t="s">
        <v>302</v>
      </c>
      <c r="I4" s="31">
        <v>1</v>
      </c>
      <c r="J4" s="31">
        <v>1</v>
      </c>
      <c r="K4" s="43">
        <v>0</v>
      </c>
      <c r="L4" s="230" t="s">
        <v>414</v>
      </c>
      <c r="M4" s="31" t="s">
        <v>304</v>
      </c>
      <c r="N4" s="31" t="s">
        <v>252</v>
      </c>
      <c r="O4" s="43" t="s">
        <v>380</v>
      </c>
      <c r="P4" s="31" t="s">
        <v>252</v>
      </c>
      <c r="Q4" s="31" t="s">
        <v>252</v>
      </c>
      <c r="R4" s="31" t="s">
        <v>252</v>
      </c>
      <c r="S4" s="43" t="s">
        <v>252</v>
      </c>
      <c r="U4" s="142"/>
      <c r="V4" s="142"/>
    </row>
    <row r="5" spans="1:23" s="31" customFormat="1" x14ac:dyDescent="0.3">
      <c r="A5" s="155" t="s">
        <v>382</v>
      </c>
      <c r="B5" s="31">
        <v>202</v>
      </c>
      <c r="C5" s="43">
        <v>579</v>
      </c>
      <c r="D5" s="43" t="s">
        <v>297</v>
      </c>
      <c r="E5" s="43" t="s">
        <v>298</v>
      </c>
      <c r="F5" s="31" t="s">
        <v>299</v>
      </c>
      <c r="G5" s="31" t="s">
        <v>302</v>
      </c>
      <c r="H5" s="43" t="s">
        <v>306</v>
      </c>
      <c r="I5" s="31">
        <v>2</v>
      </c>
      <c r="J5" s="31">
        <v>1</v>
      </c>
      <c r="K5" s="43">
        <v>0</v>
      </c>
      <c r="L5" s="230" t="s">
        <v>290</v>
      </c>
      <c r="M5" s="31" t="s">
        <v>307</v>
      </c>
      <c r="N5" s="31" t="s">
        <v>252</v>
      </c>
      <c r="O5" s="156" t="s">
        <v>398</v>
      </c>
      <c r="P5" s="31" t="s">
        <v>252</v>
      </c>
      <c r="Q5" s="31" t="s">
        <v>252</v>
      </c>
      <c r="R5" s="31" t="s">
        <v>252</v>
      </c>
      <c r="S5" s="43" t="s">
        <v>252</v>
      </c>
      <c r="U5" s="142"/>
      <c r="V5" s="142"/>
    </row>
    <row r="6" spans="1:23" s="31" customFormat="1" x14ac:dyDescent="0.3">
      <c r="A6" s="155" t="s">
        <v>383</v>
      </c>
      <c r="B6" s="31">
        <v>215</v>
      </c>
      <c r="C6" s="43">
        <v>573</v>
      </c>
      <c r="D6" s="43" t="s">
        <v>297</v>
      </c>
      <c r="E6" s="43" t="s">
        <v>298</v>
      </c>
      <c r="F6" s="31" t="s">
        <v>299</v>
      </c>
      <c r="G6" s="31" t="s">
        <v>306</v>
      </c>
      <c r="H6" s="43" t="s">
        <v>308</v>
      </c>
      <c r="I6" s="31">
        <v>2</v>
      </c>
      <c r="J6" s="31">
        <v>1</v>
      </c>
      <c r="K6" s="43">
        <v>0</v>
      </c>
      <c r="L6" s="230" t="s">
        <v>415</v>
      </c>
      <c r="M6" s="31" t="s">
        <v>309</v>
      </c>
      <c r="N6" s="31" t="s">
        <v>252</v>
      </c>
      <c r="O6" s="156" t="s">
        <v>399</v>
      </c>
      <c r="P6" s="31" t="s">
        <v>252</v>
      </c>
      <c r="Q6" s="31" t="s">
        <v>252</v>
      </c>
      <c r="R6" s="31" t="s">
        <v>252</v>
      </c>
      <c r="S6" s="43" t="s">
        <v>252</v>
      </c>
      <c r="U6" s="142"/>
      <c r="V6" s="142"/>
    </row>
    <row r="7" spans="1:23" s="165" customFormat="1" x14ac:dyDescent="0.3">
      <c r="A7" s="167" t="s">
        <v>384</v>
      </c>
      <c r="B7" s="165">
        <v>209</v>
      </c>
      <c r="C7" s="164">
        <v>426</v>
      </c>
      <c r="D7" s="164" t="s">
        <v>297</v>
      </c>
      <c r="E7" s="164" t="s">
        <v>298</v>
      </c>
      <c r="F7" s="165" t="s">
        <v>299</v>
      </c>
      <c r="G7" s="165" t="s">
        <v>308</v>
      </c>
      <c r="H7" s="164" t="s">
        <v>310</v>
      </c>
      <c r="I7" s="165">
        <v>2</v>
      </c>
      <c r="J7" s="165">
        <v>1</v>
      </c>
      <c r="K7" s="164">
        <v>0</v>
      </c>
      <c r="L7" s="224" t="s">
        <v>421</v>
      </c>
      <c r="M7" s="165" t="s">
        <v>311</v>
      </c>
      <c r="N7" s="165" t="s">
        <v>252</v>
      </c>
      <c r="O7" s="168" t="s">
        <v>400</v>
      </c>
      <c r="P7" s="165" t="s">
        <v>252</v>
      </c>
      <c r="Q7" s="165" t="s">
        <v>252</v>
      </c>
      <c r="R7" s="165" t="s">
        <v>252</v>
      </c>
      <c r="S7" s="164" t="s">
        <v>252</v>
      </c>
      <c r="U7" s="166"/>
      <c r="V7" s="166"/>
    </row>
    <row r="8" spans="1:23" s="31" customFormat="1" x14ac:dyDescent="0.3">
      <c r="A8" s="155" t="s">
        <v>385</v>
      </c>
      <c r="B8" s="31">
        <v>61</v>
      </c>
      <c r="C8" s="43">
        <v>224</v>
      </c>
      <c r="D8" s="43" t="s">
        <v>297</v>
      </c>
      <c r="E8" s="43" t="s">
        <v>298</v>
      </c>
      <c r="F8" s="31" t="s">
        <v>299</v>
      </c>
      <c r="G8" s="31" t="s">
        <v>310</v>
      </c>
      <c r="H8" s="43" t="s">
        <v>310</v>
      </c>
      <c r="I8" s="31">
        <v>1</v>
      </c>
      <c r="J8" s="31">
        <v>1</v>
      </c>
      <c r="K8" s="43">
        <v>0</v>
      </c>
      <c r="L8" s="230" t="s">
        <v>375</v>
      </c>
      <c r="M8" s="31" t="s">
        <v>312</v>
      </c>
      <c r="N8" s="31" t="s">
        <v>252</v>
      </c>
      <c r="O8" s="156" t="s">
        <v>401</v>
      </c>
      <c r="P8" s="31" t="s">
        <v>252</v>
      </c>
      <c r="Q8" s="31" t="s">
        <v>252</v>
      </c>
      <c r="R8" s="31" t="s">
        <v>252</v>
      </c>
      <c r="S8" s="43" t="s">
        <v>252</v>
      </c>
      <c r="U8" s="142"/>
      <c r="V8" s="142"/>
    </row>
    <row r="9" spans="1:23" s="165" customFormat="1" x14ac:dyDescent="0.3">
      <c r="A9" s="167" t="s">
        <v>386</v>
      </c>
      <c r="B9" s="165">
        <v>225</v>
      </c>
      <c r="C9" s="164">
        <v>425</v>
      </c>
      <c r="D9" s="164" t="s">
        <v>297</v>
      </c>
      <c r="E9" s="164" t="s">
        <v>298</v>
      </c>
      <c r="F9" s="165" t="s">
        <v>299</v>
      </c>
      <c r="G9" s="165" t="s">
        <v>310</v>
      </c>
      <c r="H9" s="164" t="s">
        <v>313</v>
      </c>
      <c r="I9" s="165">
        <v>2</v>
      </c>
      <c r="J9" s="165">
        <v>1</v>
      </c>
      <c r="K9" s="164">
        <v>0</v>
      </c>
      <c r="L9" s="224" t="s">
        <v>421</v>
      </c>
      <c r="M9" s="165" t="s">
        <v>314</v>
      </c>
      <c r="N9" s="165" t="s">
        <v>252</v>
      </c>
      <c r="O9" s="168" t="s">
        <v>402</v>
      </c>
      <c r="P9" s="165" t="s">
        <v>252</v>
      </c>
      <c r="Q9" s="165" t="s">
        <v>252</v>
      </c>
      <c r="R9" s="165" t="s">
        <v>252</v>
      </c>
      <c r="S9" s="164" t="s">
        <v>252</v>
      </c>
      <c r="U9" s="166"/>
      <c r="V9" s="166"/>
    </row>
    <row r="10" spans="1:23" s="31" customFormat="1" x14ac:dyDescent="0.3">
      <c r="A10" s="155" t="s">
        <v>387</v>
      </c>
      <c r="B10" s="31">
        <v>61</v>
      </c>
      <c r="C10" s="43">
        <v>297</v>
      </c>
      <c r="D10" s="43" t="s">
        <v>297</v>
      </c>
      <c r="E10" s="43" t="s">
        <v>298</v>
      </c>
      <c r="F10" s="31" t="s">
        <v>299</v>
      </c>
      <c r="G10" s="31" t="s">
        <v>313</v>
      </c>
      <c r="H10" s="43" t="s">
        <v>313</v>
      </c>
      <c r="I10" s="31">
        <v>1</v>
      </c>
      <c r="J10" s="31">
        <v>1</v>
      </c>
      <c r="K10" s="43">
        <v>0</v>
      </c>
      <c r="L10" s="230" t="s">
        <v>376</v>
      </c>
      <c r="M10" s="31" t="s">
        <v>315</v>
      </c>
      <c r="N10" s="31" t="s">
        <v>252</v>
      </c>
      <c r="O10" s="156" t="s">
        <v>403</v>
      </c>
      <c r="P10" s="31" t="s">
        <v>252</v>
      </c>
      <c r="Q10" s="31" t="s">
        <v>252</v>
      </c>
      <c r="R10" s="31" t="s">
        <v>252</v>
      </c>
      <c r="S10" s="43" t="s">
        <v>252</v>
      </c>
      <c r="U10" s="142"/>
      <c r="V10" s="142"/>
    </row>
    <row r="11" spans="1:23" s="31" customFormat="1" x14ac:dyDescent="0.3">
      <c r="A11" s="155" t="s">
        <v>388</v>
      </c>
      <c r="B11" s="31">
        <v>298</v>
      </c>
      <c r="C11" s="43">
        <v>579</v>
      </c>
      <c r="D11" s="43" t="s">
        <v>297</v>
      </c>
      <c r="E11" s="43" t="s">
        <v>298</v>
      </c>
      <c r="F11" s="31" t="s">
        <v>299</v>
      </c>
      <c r="G11" s="31" t="s">
        <v>313</v>
      </c>
      <c r="H11" s="43" t="s">
        <v>316</v>
      </c>
      <c r="I11" s="31">
        <v>2</v>
      </c>
      <c r="J11" s="31">
        <v>1</v>
      </c>
      <c r="K11" s="43">
        <v>0</v>
      </c>
      <c r="L11" s="230" t="s">
        <v>290</v>
      </c>
      <c r="M11" s="31" t="s">
        <v>317</v>
      </c>
      <c r="N11" s="31" t="s">
        <v>252</v>
      </c>
      <c r="O11" s="156" t="s">
        <v>404</v>
      </c>
      <c r="P11" s="31" t="s">
        <v>252</v>
      </c>
      <c r="Q11" s="31" t="s">
        <v>252</v>
      </c>
      <c r="R11" s="31" t="s">
        <v>252</v>
      </c>
      <c r="S11" s="43" t="s">
        <v>252</v>
      </c>
      <c r="U11" s="142"/>
      <c r="V11" s="142"/>
    </row>
    <row r="12" spans="1:23" s="165" customFormat="1" x14ac:dyDescent="0.3">
      <c r="A12" s="167" t="s">
        <v>389</v>
      </c>
      <c r="B12" s="165">
        <v>215</v>
      </c>
      <c r="C12" s="164">
        <f>365+60</f>
        <v>425</v>
      </c>
      <c r="D12" s="164" t="s">
        <v>297</v>
      </c>
      <c r="E12" s="164" t="s">
        <v>298</v>
      </c>
      <c r="F12" s="165" t="s">
        <v>299</v>
      </c>
      <c r="G12" s="165" t="s">
        <v>316</v>
      </c>
      <c r="H12" s="164" t="s">
        <v>318</v>
      </c>
      <c r="I12" s="165">
        <v>2</v>
      </c>
      <c r="J12" s="165">
        <v>1</v>
      </c>
      <c r="K12" s="164">
        <v>0</v>
      </c>
      <c r="L12" s="224" t="s">
        <v>421</v>
      </c>
      <c r="M12" s="165" t="s">
        <v>319</v>
      </c>
      <c r="N12" s="165" t="s">
        <v>252</v>
      </c>
      <c r="O12" s="168" t="s">
        <v>405</v>
      </c>
      <c r="P12" s="165" t="s">
        <v>252</v>
      </c>
      <c r="Q12" s="165" t="s">
        <v>252</v>
      </c>
      <c r="R12" s="165" t="s">
        <v>252</v>
      </c>
      <c r="S12" s="164" t="s">
        <v>252</v>
      </c>
      <c r="U12" s="166"/>
      <c r="V12" s="166"/>
    </row>
    <row r="13" spans="1:23" s="31" customFormat="1" x14ac:dyDescent="0.3">
      <c r="A13" s="155" t="s">
        <v>390</v>
      </c>
      <c r="B13" s="31">
        <v>61</v>
      </c>
      <c r="C13" s="43">
        <v>250</v>
      </c>
      <c r="D13" s="43" t="s">
        <v>320</v>
      </c>
      <c r="E13" s="43" t="s">
        <v>298</v>
      </c>
      <c r="F13" s="31" t="s">
        <v>299</v>
      </c>
      <c r="G13" s="31" t="s">
        <v>318</v>
      </c>
      <c r="H13" s="43" t="s">
        <v>318</v>
      </c>
      <c r="I13" s="31">
        <v>1</v>
      </c>
      <c r="J13" s="31">
        <v>1</v>
      </c>
      <c r="K13" s="43">
        <v>0</v>
      </c>
      <c r="L13" s="230" t="s">
        <v>377</v>
      </c>
      <c r="M13" s="31" t="s">
        <v>321</v>
      </c>
      <c r="N13" s="31" t="s">
        <v>252</v>
      </c>
      <c r="O13" s="156" t="s">
        <v>406</v>
      </c>
      <c r="P13" s="31" t="s">
        <v>252</v>
      </c>
      <c r="Q13" s="31" t="s">
        <v>252</v>
      </c>
      <c r="R13" s="31" t="s">
        <v>252</v>
      </c>
      <c r="S13" s="43" t="s">
        <v>252</v>
      </c>
      <c r="U13" s="142"/>
      <c r="V13" s="142"/>
    </row>
    <row r="14" spans="1:23" s="31" customFormat="1" x14ac:dyDescent="0.3">
      <c r="A14" s="155" t="s">
        <v>391</v>
      </c>
      <c r="B14" s="31">
        <v>251</v>
      </c>
      <c r="C14" s="43">
        <v>617</v>
      </c>
      <c r="D14" s="43" t="s">
        <v>322</v>
      </c>
      <c r="E14" s="43" t="s">
        <v>298</v>
      </c>
      <c r="F14" s="31" t="s">
        <v>299</v>
      </c>
      <c r="G14" s="145" t="s">
        <v>318</v>
      </c>
      <c r="H14" s="43" t="s">
        <v>323</v>
      </c>
      <c r="I14" s="31">
        <v>2</v>
      </c>
      <c r="J14" s="31">
        <v>1</v>
      </c>
      <c r="K14" s="43">
        <v>0</v>
      </c>
      <c r="L14" s="230" t="s">
        <v>377</v>
      </c>
      <c r="M14" s="31" t="s">
        <v>324</v>
      </c>
      <c r="N14" s="31" t="s">
        <v>252</v>
      </c>
      <c r="O14" s="156" t="s">
        <v>407</v>
      </c>
      <c r="P14" s="31" t="s">
        <v>252</v>
      </c>
      <c r="Q14" s="31" t="s">
        <v>252</v>
      </c>
      <c r="R14" s="31" t="s">
        <v>252</v>
      </c>
      <c r="S14" s="43" t="s">
        <v>252</v>
      </c>
      <c r="U14" s="142"/>
      <c r="V14" s="142"/>
    </row>
    <row r="15" spans="1:23" s="31" customFormat="1" x14ac:dyDescent="0.3">
      <c r="A15" s="155" t="s">
        <v>392</v>
      </c>
      <c r="B15" s="31">
        <v>252</v>
      </c>
      <c r="C15" s="43">
        <v>564</v>
      </c>
      <c r="D15" s="43" t="s">
        <v>297</v>
      </c>
      <c r="E15" s="43" t="s">
        <v>298</v>
      </c>
      <c r="F15" s="31" t="s">
        <v>299</v>
      </c>
      <c r="G15" s="31" t="s">
        <v>323</v>
      </c>
      <c r="H15" s="43" t="s">
        <v>325</v>
      </c>
      <c r="I15" s="31">
        <v>2</v>
      </c>
      <c r="J15" s="31">
        <v>1</v>
      </c>
      <c r="K15" s="43">
        <v>0</v>
      </c>
      <c r="L15" s="230" t="s">
        <v>290</v>
      </c>
      <c r="M15" s="31" t="s">
        <v>326</v>
      </c>
      <c r="N15" s="31" t="s">
        <v>252</v>
      </c>
      <c r="O15" s="156" t="s">
        <v>408</v>
      </c>
      <c r="P15" s="31" t="s">
        <v>252</v>
      </c>
      <c r="Q15" s="31" t="s">
        <v>252</v>
      </c>
      <c r="R15" s="31" t="s">
        <v>252</v>
      </c>
      <c r="S15" s="43" t="s">
        <v>252</v>
      </c>
      <c r="U15" s="142"/>
      <c r="V15" s="142"/>
    </row>
    <row r="16" spans="1:23" s="165" customFormat="1" x14ac:dyDescent="0.3">
      <c r="A16" s="167" t="s">
        <v>393</v>
      </c>
      <c r="B16" s="165">
        <v>200</v>
      </c>
      <c r="C16" s="164">
        <v>448</v>
      </c>
      <c r="D16" s="164" t="s">
        <v>297</v>
      </c>
      <c r="E16" s="164" t="s">
        <v>298</v>
      </c>
      <c r="F16" s="165" t="s">
        <v>299</v>
      </c>
      <c r="G16" s="165" t="s">
        <v>325</v>
      </c>
      <c r="H16" s="164" t="s">
        <v>327</v>
      </c>
      <c r="I16" s="165">
        <v>2</v>
      </c>
      <c r="J16" s="165">
        <v>1</v>
      </c>
      <c r="K16" s="164">
        <v>0</v>
      </c>
      <c r="L16" s="224" t="s">
        <v>421</v>
      </c>
      <c r="M16" s="165" t="s">
        <v>328</v>
      </c>
      <c r="N16" s="165" t="s">
        <v>252</v>
      </c>
      <c r="O16" s="168" t="s">
        <v>409</v>
      </c>
      <c r="P16" s="165" t="s">
        <v>252</v>
      </c>
      <c r="Q16" s="165" t="s">
        <v>252</v>
      </c>
      <c r="R16" s="165" t="s">
        <v>252</v>
      </c>
      <c r="S16" s="164" t="s">
        <v>252</v>
      </c>
      <c r="U16" s="166"/>
      <c r="V16" s="166"/>
    </row>
    <row r="17" spans="1:23" s="31" customFormat="1" x14ac:dyDescent="0.3">
      <c r="A17" s="155" t="s">
        <v>394</v>
      </c>
      <c r="B17" s="31">
        <v>84</v>
      </c>
      <c r="C17" s="43">
        <v>214</v>
      </c>
      <c r="D17" s="43" t="s">
        <v>297</v>
      </c>
      <c r="E17" s="43" t="s">
        <v>298</v>
      </c>
      <c r="F17" s="31" t="s">
        <v>299</v>
      </c>
      <c r="G17" s="31" t="s">
        <v>327</v>
      </c>
      <c r="H17" s="43" t="s">
        <v>327</v>
      </c>
      <c r="I17" s="31">
        <v>1</v>
      </c>
      <c r="J17" s="31">
        <v>1</v>
      </c>
      <c r="K17" s="43">
        <v>0</v>
      </c>
      <c r="L17" s="230" t="s">
        <v>375</v>
      </c>
      <c r="M17" s="31" t="s">
        <v>329</v>
      </c>
      <c r="N17" s="31" t="s">
        <v>252</v>
      </c>
      <c r="O17" s="156" t="s">
        <v>410</v>
      </c>
      <c r="P17" s="31" t="s">
        <v>252</v>
      </c>
      <c r="Q17" s="31" t="s">
        <v>252</v>
      </c>
      <c r="R17" s="31" t="s">
        <v>252</v>
      </c>
      <c r="S17" s="43" t="s">
        <v>252</v>
      </c>
      <c r="U17" s="142"/>
      <c r="V17" s="142"/>
    </row>
    <row r="18" spans="1:23" s="165" customFormat="1" x14ac:dyDescent="0.3">
      <c r="A18" s="167" t="s">
        <v>395</v>
      </c>
      <c r="B18" s="165">
        <v>215</v>
      </c>
      <c r="C18" s="164">
        <v>425</v>
      </c>
      <c r="D18" s="164" t="s">
        <v>297</v>
      </c>
      <c r="E18" s="164" t="s">
        <v>298</v>
      </c>
      <c r="F18" s="165" t="s">
        <v>299</v>
      </c>
      <c r="G18" s="165" t="s">
        <v>327</v>
      </c>
      <c r="H18" s="164" t="s">
        <v>330</v>
      </c>
      <c r="I18" s="165">
        <v>2</v>
      </c>
      <c r="J18" s="165">
        <v>1</v>
      </c>
      <c r="K18" s="164">
        <v>0</v>
      </c>
      <c r="L18" s="224" t="s">
        <v>421</v>
      </c>
      <c r="M18" s="165" t="s">
        <v>331</v>
      </c>
      <c r="N18" s="165" t="s">
        <v>252</v>
      </c>
      <c r="O18" s="168" t="s">
        <v>411</v>
      </c>
      <c r="P18" s="165" t="s">
        <v>252</v>
      </c>
      <c r="Q18" s="165" t="s">
        <v>252</v>
      </c>
      <c r="R18" s="165" t="s">
        <v>252</v>
      </c>
      <c r="S18" s="164" t="s">
        <v>252</v>
      </c>
      <c r="U18" s="166"/>
      <c r="V18" s="166"/>
    </row>
    <row r="19" spans="1:23" s="31" customFormat="1" x14ac:dyDescent="0.3">
      <c r="A19" s="155" t="s">
        <v>396</v>
      </c>
      <c r="B19" s="31">
        <v>61</v>
      </c>
      <c r="C19" s="43">
        <v>297</v>
      </c>
      <c r="D19" s="43" t="s">
        <v>297</v>
      </c>
      <c r="E19" s="43" t="s">
        <v>298</v>
      </c>
      <c r="F19" s="31" t="s">
        <v>299</v>
      </c>
      <c r="G19" s="31" t="s">
        <v>330</v>
      </c>
      <c r="H19" s="43" t="s">
        <v>330</v>
      </c>
      <c r="I19" s="31">
        <v>1</v>
      </c>
      <c r="J19" s="31">
        <v>1</v>
      </c>
      <c r="K19" s="43">
        <v>0</v>
      </c>
      <c r="L19" s="230" t="s">
        <v>376</v>
      </c>
      <c r="M19" s="31" t="s">
        <v>332</v>
      </c>
      <c r="N19" s="31" t="s">
        <v>252</v>
      </c>
      <c r="O19" s="156" t="s">
        <v>412</v>
      </c>
      <c r="P19" s="31" t="s">
        <v>252</v>
      </c>
      <c r="Q19" s="31" t="s">
        <v>252</v>
      </c>
      <c r="R19" s="31" t="s">
        <v>252</v>
      </c>
      <c r="S19" s="43" t="s">
        <v>252</v>
      </c>
      <c r="U19" s="142"/>
      <c r="V19" s="142"/>
    </row>
    <row r="20" spans="1:23" s="31" customFormat="1" x14ac:dyDescent="0.3">
      <c r="A20" s="155" t="s">
        <v>397</v>
      </c>
      <c r="B20" s="31">
        <v>298</v>
      </c>
      <c r="C20" s="43">
        <v>592</v>
      </c>
      <c r="D20" s="43" t="s">
        <v>297</v>
      </c>
      <c r="E20" s="43" t="s">
        <v>298</v>
      </c>
      <c r="F20" s="31" t="s">
        <v>299</v>
      </c>
      <c r="G20" s="31" t="s">
        <v>330</v>
      </c>
      <c r="H20" s="43" t="s">
        <v>333</v>
      </c>
      <c r="I20" s="31">
        <v>2</v>
      </c>
      <c r="J20" s="31">
        <v>1</v>
      </c>
      <c r="K20" s="43">
        <v>0</v>
      </c>
      <c r="L20" s="230" t="s">
        <v>290</v>
      </c>
      <c r="M20" s="31" t="s">
        <v>334</v>
      </c>
      <c r="N20" s="31" t="s">
        <v>252</v>
      </c>
      <c r="O20" s="156" t="s">
        <v>413</v>
      </c>
      <c r="P20" s="31" t="s">
        <v>252</v>
      </c>
      <c r="Q20" s="31" t="s">
        <v>252</v>
      </c>
      <c r="R20" s="31" t="s">
        <v>252</v>
      </c>
      <c r="S20" s="43" t="s">
        <v>252</v>
      </c>
      <c r="U20" s="142"/>
      <c r="V20" s="142"/>
    </row>
    <row r="21" spans="1:23" x14ac:dyDescent="0.3">
      <c r="W21" s="31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5"/>
  <sheetViews>
    <sheetView zoomScaleNormal="100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AC4" sqref="AC4"/>
    </sheetView>
  </sheetViews>
  <sheetFormatPr defaultColWidth="8.88671875" defaultRowHeight="14.4" x14ac:dyDescent="0.3"/>
  <cols>
    <col min="1" max="1" width="25.6640625" style="13" bestFit="1" customWidth="1"/>
    <col min="2" max="2" width="8.88671875" style="13" bestFit="1" customWidth="1"/>
    <col min="3" max="3" width="12.33203125" style="13" bestFit="1" customWidth="1"/>
    <col min="4" max="4" width="9.77734375" style="12" bestFit="1" customWidth="1"/>
    <col min="5" max="5" width="11.21875" style="12" bestFit="1" customWidth="1"/>
    <col min="6" max="6" width="14.44140625" style="12" bestFit="1" customWidth="1"/>
    <col min="7" max="7" width="22.109375" style="11" bestFit="1" customWidth="1"/>
    <col min="8" max="8" width="17.21875" style="11" bestFit="1" customWidth="1"/>
    <col min="9" max="9" width="17.33203125" style="11" bestFit="1" customWidth="1"/>
    <col min="10" max="10" width="15.109375" style="11" bestFit="1" customWidth="1"/>
    <col min="11" max="11" width="17.77734375" style="11" bestFit="1" customWidth="1"/>
    <col min="12" max="12" width="13.109375" style="11" bestFit="1" customWidth="1"/>
    <col min="13" max="13" width="15.6640625" style="11" bestFit="1" customWidth="1"/>
    <col min="14" max="14" width="14.5546875" style="16" bestFit="1" customWidth="1"/>
    <col min="15" max="18" width="17.21875" style="12" bestFit="1" customWidth="1"/>
    <col min="19" max="19" width="17.21875" style="13" bestFit="1" customWidth="1"/>
    <col min="20" max="23" width="7.44140625" style="12" bestFit="1" customWidth="1"/>
    <col min="24" max="24" width="7.44140625" style="13" bestFit="1" customWidth="1"/>
    <col min="25" max="28" width="9.88671875" style="12" customWidth="1"/>
    <col min="29" max="29" width="9.88671875" style="13" customWidth="1"/>
    <col min="30" max="33" width="9.77734375" style="12" bestFit="1" customWidth="1"/>
    <col min="34" max="34" width="9.77734375" style="13" bestFit="1" customWidth="1"/>
    <col min="35" max="35" width="7.5546875" style="12" bestFit="1" customWidth="1"/>
    <col min="36" max="36" width="5.44140625" style="12" bestFit="1" customWidth="1"/>
    <col min="37" max="37" width="6" style="12" bestFit="1" customWidth="1"/>
    <col min="38" max="38" width="3.77734375" style="12" bestFit="1" customWidth="1"/>
    <col min="39" max="1008" width="10.5546875" style="12" customWidth="1"/>
    <col min="1009" max="1020" width="9.109375" style="12" customWidth="1"/>
    <col min="1021" max="16384" width="8.88671875" style="12"/>
  </cols>
  <sheetData>
    <row r="1" spans="1:38" s="58" customFormat="1" ht="15" thickBot="1" x14ac:dyDescent="0.35">
      <c r="A1" s="44" t="s">
        <v>17</v>
      </c>
      <c r="B1" s="45" t="s">
        <v>9</v>
      </c>
      <c r="C1" s="46" t="s">
        <v>18</v>
      </c>
      <c r="D1" s="47" t="s">
        <v>19</v>
      </c>
      <c r="E1" s="47" t="s">
        <v>23</v>
      </c>
      <c r="F1" s="47" t="s">
        <v>22</v>
      </c>
      <c r="G1" s="48" t="s">
        <v>251</v>
      </c>
      <c r="H1" s="48" t="s">
        <v>123</v>
      </c>
      <c r="I1" s="48" t="s">
        <v>124</v>
      </c>
      <c r="J1" s="48" t="s">
        <v>125</v>
      </c>
      <c r="K1" s="48" t="s">
        <v>126</v>
      </c>
      <c r="L1" s="49" t="s">
        <v>20</v>
      </c>
      <c r="M1" s="49" t="s">
        <v>21</v>
      </c>
      <c r="N1" s="50" t="s">
        <v>274</v>
      </c>
      <c r="O1" s="51" t="s">
        <v>24</v>
      </c>
      <c r="P1" s="52" t="s">
        <v>25</v>
      </c>
      <c r="Q1" s="52" t="s">
        <v>26</v>
      </c>
      <c r="R1" s="52" t="s">
        <v>27</v>
      </c>
      <c r="S1" s="53" t="s">
        <v>28</v>
      </c>
      <c r="T1" s="54" t="s">
        <v>285</v>
      </c>
      <c r="U1" s="54" t="s">
        <v>286</v>
      </c>
      <c r="V1" s="54" t="s">
        <v>287</v>
      </c>
      <c r="W1" s="54" t="s">
        <v>288</v>
      </c>
      <c r="X1" s="55" t="s">
        <v>289</v>
      </c>
      <c r="Y1" s="56" t="s">
        <v>275</v>
      </c>
      <c r="Z1" s="56" t="s">
        <v>276</v>
      </c>
      <c r="AA1" s="56" t="s">
        <v>277</v>
      </c>
      <c r="AB1" s="56" t="s">
        <v>278</v>
      </c>
      <c r="AC1" s="56" t="s">
        <v>279</v>
      </c>
      <c r="AD1" s="57" t="s">
        <v>280</v>
      </c>
      <c r="AE1" s="57" t="s">
        <v>281</v>
      </c>
      <c r="AF1" s="57" t="s">
        <v>282</v>
      </c>
      <c r="AG1" s="57" t="s">
        <v>283</v>
      </c>
      <c r="AH1" s="57" t="s">
        <v>284</v>
      </c>
    </row>
    <row r="2" spans="1:38" s="58" customFormat="1" x14ac:dyDescent="0.3">
      <c r="A2" s="4" t="s">
        <v>297</v>
      </c>
      <c r="B2" s="59">
        <v>1</v>
      </c>
      <c r="C2" s="59" t="s">
        <v>291</v>
      </c>
      <c r="D2" s="58">
        <v>0</v>
      </c>
      <c r="E2" s="58">
        <v>0</v>
      </c>
      <c r="F2" s="58">
        <v>0</v>
      </c>
      <c r="G2" s="26">
        <v>2</v>
      </c>
      <c r="H2" s="26">
        <v>0</v>
      </c>
      <c r="I2" s="26">
        <v>0</v>
      </c>
      <c r="J2" s="26">
        <v>0</v>
      </c>
      <c r="K2" s="26">
        <v>0</v>
      </c>
      <c r="L2" s="58">
        <v>0</v>
      </c>
      <c r="M2" s="60">
        <v>0</v>
      </c>
      <c r="N2" s="59">
        <v>0</v>
      </c>
      <c r="O2" s="58">
        <v>0</v>
      </c>
      <c r="P2" s="58">
        <v>0</v>
      </c>
      <c r="Q2" s="58">
        <v>0</v>
      </c>
      <c r="R2" s="58">
        <v>0</v>
      </c>
      <c r="S2" s="59">
        <v>0</v>
      </c>
      <c r="T2" s="61">
        <v>24.049999999999901</v>
      </c>
      <c r="U2" s="61">
        <v>22.35</v>
      </c>
      <c r="V2" s="61">
        <v>22.15</v>
      </c>
      <c r="W2" s="61">
        <v>0</v>
      </c>
      <c r="X2" s="62">
        <v>0</v>
      </c>
      <c r="Y2" s="61">
        <v>4.17</v>
      </c>
      <c r="Z2" s="61">
        <v>10.336857142857101</v>
      </c>
      <c r="AA2" s="61">
        <v>14.546196428571401</v>
      </c>
      <c r="AB2" s="61">
        <v>14.5</v>
      </c>
      <c r="AC2" s="62">
        <v>14.5</v>
      </c>
      <c r="AD2" s="61">
        <v>3.54449999999999</v>
      </c>
      <c r="AE2" s="61">
        <v>3.1459999999999999</v>
      </c>
      <c r="AF2" s="61">
        <v>1.40769642857142</v>
      </c>
      <c r="AG2" s="61">
        <v>1.40769642857142</v>
      </c>
      <c r="AH2" s="62">
        <v>1.40769642857142</v>
      </c>
    </row>
    <row r="3" spans="1:38" s="58" customFormat="1" x14ac:dyDescent="0.3">
      <c r="A3" s="59" t="s">
        <v>320</v>
      </c>
      <c r="B3" s="59">
        <v>1</v>
      </c>
      <c r="C3" s="59" t="s">
        <v>291</v>
      </c>
      <c r="D3" s="58">
        <v>0</v>
      </c>
      <c r="E3" s="58">
        <v>0</v>
      </c>
      <c r="F3" s="58">
        <v>0</v>
      </c>
      <c r="G3" s="26">
        <v>1</v>
      </c>
      <c r="H3" s="26">
        <v>0</v>
      </c>
      <c r="I3" s="26">
        <v>0</v>
      </c>
      <c r="J3" s="26">
        <v>0</v>
      </c>
      <c r="K3" s="26">
        <v>0</v>
      </c>
      <c r="L3" s="58">
        <v>0</v>
      </c>
      <c r="M3" s="60">
        <v>0</v>
      </c>
      <c r="N3" s="59">
        <v>0</v>
      </c>
      <c r="O3" s="58">
        <v>0</v>
      </c>
      <c r="P3" s="58">
        <v>0</v>
      </c>
      <c r="Q3" s="58">
        <v>0</v>
      </c>
      <c r="R3" s="58">
        <v>0</v>
      </c>
      <c r="S3" s="59">
        <v>0</v>
      </c>
      <c r="T3" s="61">
        <v>24.049999999999901</v>
      </c>
      <c r="U3" s="61">
        <v>22.35</v>
      </c>
      <c r="V3" s="61">
        <v>22.15</v>
      </c>
      <c r="W3" s="61">
        <v>0</v>
      </c>
      <c r="X3" s="62">
        <v>0</v>
      </c>
      <c r="Y3" s="61">
        <v>4.17</v>
      </c>
      <c r="Z3" s="61">
        <v>10.336857142857101</v>
      </c>
      <c r="AA3" s="61">
        <v>14.546196428571401</v>
      </c>
      <c r="AB3" s="61">
        <v>14.546196428571401</v>
      </c>
      <c r="AC3" s="62">
        <v>14.546196428571401</v>
      </c>
      <c r="AD3" s="61">
        <v>3.54449999999999</v>
      </c>
      <c r="AE3" s="61">
        <v>3.1459999999999999</v>
      </c>
      <c r="AF3" s="61">
        <v>1.40769642857142</v>
      </c>
      <c r="AG3" s="61">
        <v>1.40769642857142</v>
      </c>
      <c r="AH3" s="62">
        <v>1.40769642857142</v>
      </c>
    </row>
    <row r="4" spans="1:38" s="58" customFormat="1" x14ac:dyDescent="0.3">
      <c r="A4" s="59" t="s">
        <v>322</v>
      </c>
      <c r="B4" s="59">
        <v>1</v>
      </c>
      <c r="C4" s="59" t="s">
        <v>335</v>
      </c>
      <c r="D4" s="58">
        <v>0</v>
      </c>
      <c r="E4" s="58">
        <v>0</v>
      </c>
      <c r="F4" s="58">
        <v>0</v>
      </c>
      <c r="G4" s="26">
        <v>1</v>
      </c>
      <c r="H4" s="26">
        <v>0</v>
      </c>
      <c r="I4" s="26">
        <v>0</v>
      </c>
      <c r="J4" s="26">
        <v>0</v>
      </c>
      <c r="K4" s="26">
        <v>0</v>
      </c>
      <c r="L4" s="58">
        <v>0</v>
      </c>
      <c r="M4" s="60">
        <v>0</v>
      </c>
      <c r="N4" s="59">
        <v>0</v>
      </c>
      <c r="O4" s="58">
        <v>0</v>
      </c>
      <c r="P4" s="58">
        <v>0</v>
      </c>
      <c r="Q4" s="58">
        <v>0</v>
      </c>
      <c r="R4" s="58">
        <v>0</v>
      </c>
      <c r="S4" s="59">
        <v>0</v>
      </c>
      <c r="T4" s="61">
        <v>24.049999999999901</v>
      </c>
      <c r="U4" s="61">
        <v>22.35</v>
      </c>
      <c r="V4" s="61">
        <v>22.15</v>
      </c>
      <c r="W4" s="61">
        <v>0</v>
      </c>
      <c r="X4" s="62">
        <v>0</v>
      </c>
      <c r="Y4" s="61">
        <v>4.17</v>
      </c>
      <c r="Z4" s="61">
        <v>10.336857142857101</v>
      </c>
      <c r="AA4" s="61">
        <v>14.546196428571401</v>
      </c>
      <c r="AB4" s="61">
        <v>14.546196428571401</v>
      </c>
      <c r="AC4" s="62">
        <v>14.546196428571401</v>
      </c>
      <c r="AD4" s="61">
        <v>3.54449999999999</v>
      </c>
      <c r="AE4" s="61">
        <v>3.1459999999999999</v>
      </c>
      <c r="AF4" s="61">
        <v>1.40769642857142</v>
      </c>
      <c r="AG4" s="61">
        <v>1.40769642857142</v>
      </c>
      <c r="AH4" s="62">
        <v>1.40769642857142</v>
      </c>
    </row>
    <row r="5" spans="1:38" x14ac:dyDescent="0.3">
      <c r="M5" s="17"/>
      <c r="Y5" s="15"/>
      <c r="Z5" s="15"/>
      <c r="AA5" s="15"/>
      <c r="AB5" s="15"/>
      <c r="AC5" s="18"/>
      <c r="AD5" s="15"/>
      <c r="AE5" s="15"/>
      <c r="AF5" s="15"/>
      <c r="AG5" s="15"/>
      <c r="AH5" s="18"/>
      <c r="AL5" s="13"/>
    </row>
    <row r="6" spans="1:38" x14ac:dyDescent="0.3">
      <c r="M6" s="17"/>
      <c r="Y6" s="15"/>
      <c r="Z6" s="15"/>
      <c r="AA6" s="15"/>
      <c r="AB6" s="15"/>
      <c r="AC6" s="18"/>
      <c r="AD6" s="15"/>
      <c r="AE6" s="15"/>
      <c r="AF6" s="15"/>
      <c r="AG6" s="15"/>
      <c r="AH6" s="18"/>
      <c r="AL6" s="13"/>
    </row>
    <row r="7" spans="1:38" x14ac:dyDescent="0.3">
      <c r="M7" s="17"/>
      <c r="AL7" s="13"/>
    </row>
    <row r="8" spans="1:38" x14ac:dyDescent="0.3">
      <c r="M8" s="17"/>
      <c r="AL8" s="13"/>
    </row>
    <row r="9" spans="1:38" x14ac:dyDescent="0.3">
      <c r="M9" s="17"/>
      <c r="AL9" s="13"/>
    </row>
    <row r="10" spans="1:38" x14ac:dyDescent="0.3">
      <c r="M10" s="17"/>
      <c r="AL10" s="13"/>
    </row>
    <row r="11" spans="1:38" x14ac:dyDescent="0.3">
      <c r="AL11" s="13"/>
    </row>
    <row r="12" spans="1:38" x14ac:dyDescent="0.3">
      <c r="AL12" s="13"/>
    </row>
    <row r="13" spans="1:38" x14ac:dyDescent="0.3">
      <c r="AL13" s="13"/>
    </row>
    <row r="14" spans="1:38" x14ac:dyDescent="0.3">
      <c r="AL14" s="13"/>
    </row>
    <row r="15" spans="1:38" x14ac:dyDescent="0.3">
      <c r="AL15" s="13"/>
    </row>
  </sheetData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27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J19" sqref="AJ19"/>
    </sheetView>
  </sheetViews>
  <sheetFormatPr defaultColWidth="24" defaultRowHeight="14.4" x14ac:dyDescent="0.3"/>
  <cols>
    <col min="1" max="1" width="14" style="4" bestFit="1" customWidth="1"/>
    <col min="2" max="3" width="5.5546875" style="6" bestFit="1" customWidth="1"/>
    <col min="4" max="4" width="7.6640625" style="6" bestFit="1" customWidth="1"/>
    <col min="5" max="5" width="4.5546875" style="3" bestFit="1" customWidth="1"/>
    <col min="6" max="6" width="4.5546875" style="23" bestFit="1" customWidth="1"/>
    <col min="7" max="7" width="8.6640625" style="3" bestFit="1" customWidth="1"/>
    <col min="8" max="8" width="6.33203125" style="3" bestFit="1" customWidth="1"/>
    <col min="9" max="9" width="4.5546875" bestFit="1" customWidth="1"/>
    <col min="10" max="10" width="7.33203125" bestFit="1" customWidth="1"/>
    <col min="11" max="11" width="8" bestFit="1" customWidth="1"/>
    <col min="12" max="12" width="7.21875" bestFit="1" customWidth="1"/>
    <col min="13" max="13" width="8.21875" style="11" bestFit="1" customWidth="1"/>
    <col min="14" max="14" width="4.5546875" style="19" bestFit="1" customWidth="1"/>
    <col min="15" max="15" width="4.44140625" style="19" bestFit="1" customWidth="1"/>
    <col min="16" max="16" width="7.109375" style="19" bestFit="1" customWidth="1"/>
    <col min="17" max="17" width="8.33203125" style="19" bestFit="1" customWidth="1"/>
    <col min="18" max="18" width="5.109375" style="3" bestFit="1" customWidth="1"/>
    <col min="19" max="19" width="7.5546875" style="3" bestFit="1" customWidth="1"/>
    <col min="20" max="20" width="10.88671875" style="3" bestFit="1" customWidth="1"/>
    <col min="21" max="21" width="12.77734375" style="3" bestFit="1" customWidth="1"/>
    <col min="22" max="22" width="9" style="19" bestFit="1" customWidth="1"/>
    <col min="23" max="23" width="10.109375" style="3" bestFit="1" customWidth="1"/>
    <col min="24" max="24" width="8.77734375" style="3" bestFit="1" customWidth="1"/>
    <col min="25" max="25" width="9.21875" style="19" bestFit="1" customWidth="1"/>
    <col min="26" max="26" width="4.5546875" style="19" bestFit="1" customWidth="1"/>
    <col min="27" max="27" width="8.33203125" style="3" bestFit="1" customWidth="1"/>
    <col min="28" max="28" width="13.5546875" style="3" bestFit="1" customWidth="1"/>
    <col min="29" max="29" width="7.77734375" style="19" bestFit="1" customWidth="1"/>
    <col min="30" max="30" width="8.21875" style="7" bestFit="1" customWidth="1"/>
    <col min="31" max="31" width="8.5546875" style="7" bestFit="1" customWidth="1"/>
    <col min="32" max="32" width="8.88671875" style="7" bestFit="1" customWidth="1"/>
    <col min="33" max="33" width="8.109375" style="7" bestFit="1" customWidth="1"/>
    <col min="34" max="34" width="8.109375" style="3" bestFit="1" customWidth="1"/>
    <col min="35" max="35" width="5.88671875" style="3" bestFit="1" customWidth="1"/>
    <col min="36" max="36" width="7.33203125" style="3" bestFit="1" customWidth="1"/>
    <col min="37" max="37" width="8.6640625" style="19" bestFit="1" customWidth="1"/>
    <col min="38" max="38" width="6.21875" style="7" bestFit="1" customWidth="1"/>
    <col min="39" max="39" width="9.21875" style="22" bestFit="1" customWidth="1"/>
    <col min="40" max="40" width="12.77734375" style="22" bestFit="1" customWidth="1"/>
    <col min="41" max="41" width="6" style="22" bestFit="1" customWidth="1"/>
    <col min="42" max="42" width="6" style="3" bestFit="1" customWidth="1"/>
    <col min="43" max="43" width="5.88671875" style="3" bestFit="1" customWidth="1"/>
    <col min="44" max="44" width="7.33203125" style="3" bestFit="1" customWidth="1"/>
    <col min="45" max="45" width="8.6640625" style="19" bestFit="1" customWidth="1"/>
    <col min="46" max="46" width="6.21875" style="7" bestFit="1" customWidth="1"/>
    <col min="47" max="47" width="9.21875" style="24" bestFit="1" customWidth="1"/>
    <col min="48" max="48" width="12.77734375" style="24" bestFit="1" customWidth="1"/>
    <col min="49" max="49" width="6" style="24" bestFit="1" customWidth="1"/>
    <col min="50" max="50" width="6" style="3" bestFit="1" customWidth="1"/>
    <col min="51" max="51" width="5.88671875" style="3" bestFit="1" customWidth="1"/>
    <col min="52" max="52" width="7.33203125" style="3" bestFit="1" customWidth="1"/>
    <col min="53" max="53" width="8.6640625" style="19" bestFit="1" customWidth="1"/>
    <col min="54" max="54" width="6.21875" style="3" bestFit="1" customWidth="1"/>
    <col min="55" max="55" width="9.21875" style="24" bestFit="1" customWidth="1"/>
    <col min="56" max="56" width="12.77734375" style="24" bestFit="1" customWidth="1"/>
    <col min="57" max="57" width="6" style="24" bestFit="1" customWidth="1"/>
    <col min="58" max="58" width="6" style="3" bestFit="1" customWidth="1"/>
    <col min="59" max="59" width="5.88671875" style="3" bestFit="1" customWidth="1"/>
    <col min="60" max="60" width="7.33203125" style="3" bestFit="1" customWidth="1"/>
    <col min="61" max="61" width="8.6640625" style="19" bestFit="1" customWidth="1"/>
    <col min="62" max="62" width="6.21875" style="3" bestFit="1" customWidth="1"/>
    <col min="63" max="63" width="9.21875" style="3" bestFit="1" customWidth="1"/>
    <col min="64" max="64" width="12.77734375" bestFit="1" customWidth="1"/>
    <col min="65" max="66" width="6" bestFit="1" customWidth="1"/>
    <col min="67" max="67" width="5.88671875" bestFit="1" customWidth="1"/>
    <col min="68" max="68" width="7.33203125" bestFit="1" customWidth="1"/>
    <col min="69" max="69" width="8.6640625" style="4" bestFit="1" customWidth="1"/>
    <col min="70" max="70" width="6.21875" style="3" bestFit="1" customWidth="1"/>
    <col min="71" max="71" width="9.21875" bestFit="1" customWidth="1"/>
    <col min="72" max="72" width="12.77734375" bestFit="1" customWidth="1"/>
    <col min="73" max="74" width="6" bestFit="1" customWidth="1"/>
  </cols>
  <sheetData>
    <row r="1" spans="1:74" s="81" customFormat="1" ht="26.4" x14ac:dyDescent="0.3">
      <c r="A1" s="63" t="s">
        <v>29</v>
      </c>
      <c r="B1" s="64" t="s">
        <v>30</v>
      </c>
      <c r="C1" s="64" t="s">
        <v>31</v>
      </c>
      <c r="D1" s="64" t="s">
        <v>127</v>
      </c>
      <c r="E1" s="64" t="s">
        <v>32</v>
      </c>
      <c r="F1" s="64" t="s">
        <v>33</v>
      </c>
      <c r="G1" s="64" t="s">
        <v>128</v>
      </c>
      <c r="H1" s="64" t="s">
        <v>34</v>
      </c>
      <c r="I1" s="64" t="s">
        <v>35</v>
      </c>
      <c r="J1" s="64" t="s">
        <v>129</v>
      </c>
      <c r="K1" s="64" t="s">
        <v>130</v>
      </c>
      <c r="L1" s="64" t="s">
        <v>131</v>
      </c>
      <c r="M1" s="64" t="s">
        <v>132</v>
      </c>
      <c r="N1" s="64" t="s">
        <v>133</v>
      </c>
      <c r="O1" s="64" t="s">
        <v>134</v>
      </c>
      <c r="P1" s="64" t="s">
        <v>135</v>
      </c>
      <c r="Q1" s="64" t="s">
        <v>250</v>
      </c>
      <c r="R1" s="65" t="s">
        <v>136</v>
      </c>
      <c r="S1" s="66" t="s">
        <v>137</v>
      </c>
      <c r="T1" s="67" t="s">
        <v>232</v>
      </c>
      <c r="U1" s="68" t="s">
        <v>233</v>
      </c>
      <c r="V1" s="69" t="s">
        <v>234</v>
      </c>
      <c r="W1" s="70" t="s">
        <v>235</v>
      </c>
      <c r="X1" s="70" t="s">
        <v>236</v>
      </c>
      <c r="Y1" s="70" t="s">
        <v>237</v>
      </c>
      <c r="Z1" s="70" t="s">
        <v>238</v>
      </c>
      <c r="AA1" s="71" t="s">
        <v>239</v>
      </c>
      <c r="AB1" s="72" t="s">
        <v>240</v>
      </c>
      <c r="AC1" s="72" t="s">
        <v>243</v>
      </c>
      <c r="AD1" s="73" t="s">
        <v>244</v>
      </c>
      <c r="AE1" s="74" t="s">
        <v>241</v>
      </c>
      <c r="AF1" s="75" t="s">
        <v>242</v>
      </c>
      <c r="AG1" s="75" t="s">
        <v>245</v>
      </c>
      <c r="AH1" s="76" t="s">
        <v>246</v>
      </c>
      <c r="AI1" s="77" t="s">
        <v>36</v>
      </c>
      <c r="AJ1" s="77" t="s">
        <v>37</v>
      </c>
      <c r="AK1" s="77" t="s">
        <v>38</v>
      </c>
      <c r="AL1" s="77" t="s">
        <v>39</v>
      </c>
      <c r="AM1" s="77" t="s">
        <v>142</v>
      </c>
      <c r="AN1" s="77" t="s">
        <v>143</v>
      </c>
      <c r="AO1" s="77" t="s">
        <v>144</v>
      </c>
      <c r="AP1" s="78" t="s">
        <v>145</v>
      </c>
      <c r="AQ1" s="79" t="s">
        <v>40</v>
      </c>
      <c r="AR1" s="79" t="s">
        <v>41</v>
      </c>
      <c r="AS1" s="79" t="s">
        <v>42</v>
      </c>
      <c r="AT1" s="79" t="s">
        <v>43</v>
      </c>
      <c r="AU1" s="79" t="s">
        <v>146</v>
      </c>
      <c r="AV1" s="79" t="s">
        <v>147</v>
      </c>
      <c r="AW1" s="79" t="s">
        <v>148</v>
      </c>
      <c r="AX1" s="80" t="s">
        <v>149</v>
      </c>
      <c r="AY1" s="77" t="s">
        <v>44</v>
      </c>
      <c r="AZ1" s="77" t="s">
        <v>45</v>
      </c>
      <c r="BA1" s="77" t="s">
        <v>46</v>
      </c>
      <c r="BB1" s="77" t="s">
        <v>47</v>
      </c>
      <c r="BC1" s="77" t="s">
        <v>150</v>
      </c>
      <c r="BD1" s="77" t="s">
        <v>151</v>
      </c>
      <c r="BE1" s="77" t="s">
        <v>152</v>
      </c>
      <c r="BF1" s="78" t="s">
        <v>153</v>
      </c>
      <c r="BG1" s="79" t="s">
        <v>48</v>
      </c>
      <c r="BH1" s="79" t="s">
        <v>49</v>
      </c>
      <c r="BI1" s="79" t="s">
        <v>50</v>
      </c>
      <c r="BJ1" s="79" t="s">
        <v>51</v>
      </c>
      <c r="BK1" s="79" t="s">
        <v>154</v>
      </c>
      <c r="BL1" s="79" t="s">
        <v>155</v>
      </c>
      <c r="BM1" s="79" t="s">
        <v>156</v>
      </c>
      <c r="BN1" s="80" t="s">
        <v>157</v>
      </c>
      <c r="BO1" s="77" t="s">
        <v>138</v>
      </c>
      <c r="BP1" s="77" t="s">
        <v>139</v>
      </c>
      <c r="BQ1" s="77" t="s">
        <v>140</v>
      </c>
      <c r="BR1" s="77" t="s">
        <v>141</v>
      </c>
      <c r="BS1" s="77" t="s">
        <v>158</v>
      </c>
      <c r="BT1" s="77" t="s">
        <v>159</v>
      </c>
      <c r="BU1" s="77" t="s">
        <v>160</v>
      </c>
      <c r="BV1" s="78" t="s">
        <v>161</v>
      </c>
    </row>
    <row r="2" spans="1:74" s="31" customFormat="1" x14ac:dyDescent="0.3">
      <c r="A2" s="4" t="s">
        <v>298</v>
      </c>
      <c r="B2" s="2">
        <v>17.024999999999999</v>
      </c>
      <c r="C2" s="25">
        <v>0.105</v>
      </c>
      <c r="D2">
        <v>35</v>
      </c>
      <c r="E2" s="2">
        <v>0.53294732400211442</v>
      </c>
      <c r="F2" s="2">
        <v>8.2475000000000005</v>
      </c>
      <c r="G2">
        <v>0</v>
      </c>
      <c r="H2">
        <v>0.22</v>
      </c>
      <c r="I2" s="2">
        <v>9.36</v>
      </c>
      <c r="J2">
        <v>0</v>
      </c>
      <c r="K2">
        <v>210</v>
      </c>
      <c r="L2">
        <v>50</v>
      </c>
      <c r="M2">
        <v>1.5</v>
      </c>
      <c r="N2">
        <v>60</v>
      </c>
      <c r="O2">
        <v>4</v>
      </c>
      <c r="P2">
        <v>0.01</v>
      </c>
      <c r="Q2" s="2">
        <v>9.4611460699887626</v>
      </c>
      <c r="R2" s="26">
        <v>0.65</v>
      </c>
      <c r="S2" s="4">
        <v>0.33</v>
      </c>
      <c r="T2" s="27">
        <v>2</v>
      </c>
      <c r="U2" s="28">
        <v>2</v>
      </c>
      <c r="V2" s="27">
        <v>2</v>
      </c>
      <c r="W2" s="29">
        <v>2</v>
      </c>
      <c r="X2" s="29">
        <v>0</v>
      </c>
      <c r="Y2" s="29">
        <v>0</v>
      </c>
      <c r="Z2" s="2">
        <v>0</v>
      </c>
      <c r="AA2" s="27">
        <v>0</v>
      </c>
      <c r="AB2" s="29">
        <v>2</v>
      </c>
      <c r="AC2" s="2">
        <v>0</v>
      </c>
      <c r="AD2" s="30">
        <v>0</v>
      </c>
      <c r="AE2" s="27">
        <v>1</v>
      </c>
      <c r="AF2" s="29">
        <v>1</v>
      </c>
      <c r="AG2" s="29">
        <v>20</v>
      </c>
      <c r="AH2" s="30">
        <v>2</v>
      </c>
      <c r="AI2" s="29">
        <v>30</v>
      </c>
      <c r="AJ2">
        <v>25.47</v>
      </c>
      <c r="AK2" s="2">
        <v>10</v>
      </c>
      <c r="AL2" s="2">
        <v>1.43</v>
      </c>
      <c r="AM2" s="29">
        <v>0</v>
      </c>
      <c r="AN2" s="29">
        <v>1</v>
      </c>
      <c r="AO2" s="29">
        <v>50</v>
      </c>
      <c r="AP2" s="27">
        <v>10</v>
      </c>
      <c r="AQ2" s="29">
        <v>30</v>
      </c>
      <c r="AR2" s="2">
        <v>23</v>
      </c>
      <c r="AS2" s="2">
        <v>10</v>
      </c>
      <c r="AT2" s="2">
        <v>1.498095</v>
      </c>
      <c r="AU2" s="29">
        <v>0</v>
      </c>
      <c r="AV2" s="29">
        <v>1</v>
      </c>
      <c r="AW2" s="29">
        <v>50</v>
      </c>
      <c r="AX2" s="27">
        <v>10</v>
      </c>
      <c r="AY2" s="29">
        <v>30</v>
      </c>
      <c r="AZ2" s="2">
        <v>22.4</v>
      </c>
      <c r="BA2" s="2">
        <v>10</v>
      </c>
      <c r="BB2" s="2">
        <v>1.5641069999999999</v>
      </c>
      <c r="BC2" s="29">
        <v>0</v>
      </c>
      <c r="BD2" s="29">
        <v>1</v>
      </c>
      <c r="BE2" s="29">
        <v>50</v>
      </c>
      <c r="BF2" s="27">
        <v>10</v>
      </c>
      <c r="BG2" s="29">
        <v>60</v>
      </c>
      <c r="BH2" s="2">
        <v>22.5</v>
      </c>
      <c r="BI2" s="2">
        <v>10</v>
      </c>
      <c r="BJ2" s="2">
        <v>1.5539584999999998</v>
      </c>
      <c r="BK2" s="29">
        <v>0</v>
      </c>
      <c r="BL2" s="29">
        <v>1</v>
      </c>
      <c r="BM2" s="29">
        <v>50</v>
      </c>
      <c r="BN2" s="27">
        <v>10</v>
      </c>
      <c r="BO2" s="29">
        <v>60</v>
      </c>
      <c r="BP2" s="2">
        <v>22.91</v>
      </c>
      <c r="BQ2" s="2">
        <v>10</v>
      </c>
      <c r="BR2" s="2">
        <v>1.5172025</v>
      </c>
      <c r="BS2" s="29">
        <v>0</v>
      </c>
      <c r="BT2" s="29">
        <v>1</v>
      </c>
      <c r="BU2" s="29">
        <v>50</v>
      </c>
      <c r="BV2" s="27">
        <v>10</v>
      </c>
    </row>
    <row r="3" spans="1:74" x14ac:dyDescent="0.3">
      <c r="A3"/>
      <c r="N3" s="3"/>
      <c r="O3" s="3"/>
      <c r="P3" s="3"/>
      <c r="Q3" s="3"/>
      <c r="V3" s="3"/>
      <c r="Y3" s="3"/>
      <c r="Z3" s="3"/>
      <c r="AC3" s="3"/>
      <c r="AK3" s="3"/>
      <c r="AS3" s="3"/>
      <c r="BA3" s="3"/>
      <c r="BI3" s="3"/>
      <c r="BQ3"/>
    </row>
    <row r="4" spans="1:74" x14ac:dyDescent="0.3">
      <c r="A4"/>
      <c r="N4" s="3"/>
      <c r="O4" s="3"/>
      <c r="P4" s="3"/>
      <c r="Q4" s="3"/>
      <c r="V4" s="3"/>
      <c r="Y4" s="3"/>
      <c r="Z4" s="3"/>
      <c r="AC4" s="3"/>
      <c r="AK4" s="3"/>
      <c r="AS4" s="3"/>
      <c r="BA4" s="3"/>
      <c r="BI4" s="3"/>
      <c r="BQ4"/>
    </row>
    <row r="5" spans="1:74" x14ac:dyDescent="0.3">
      <c r="A5"/>
      <c r="N5" s="3"/>
      <c r="O5" s="3"/>
      <c r="P5" s="3"/>
      <c r="Q5" s="3"/>
      <c r="V5" s="3"/>
      <c r="Y5" s="3"/>
      <c r="Z5" s="3"/>
      <c r="AC5" s="3"/>
      <c r="AK5" s="3"/>
      <c r="AS5" s="3"/>
      <c r="BA5" s="3"/>
      <c r="BI5" s="3"/>
      <c r="BQ5"/>
    </row>
    <row r="6" spans="1:74" x14ac:dyDescent="0.3">
      <c r="A6"/>
      <c r="N6" s="3"/>
      <c r="O6" s="3"/>
      <c r="P6" s="3"/>
      <c r="Q6" s="3"/>
      <c r="V6" s="3"/>
      <c r="Y6" s="3"/>
      <c r="Z6" s="3"/>
      <c r="AC6" s="3"/>
      <c r="AK6" s="3"/>
      <c r="AS6" s="3"/>
      <c r="BA6" s="3"/>
      <c r="BI6" s="3"/>
      <c r="BQ6"/>
    </row>
    <row r="7" spans="1:74" x14ac:dyDescent="0.3">
      <c r="A7"/>
      <c r="N7" s="3"/>
      <c r="O7" s="3"/>
      <c r="P7" s="3"/>
      <c r="Q7" s="3"/>
      <c r="V7" s="3"/>
      <c r="Y7" s="3"/>
      <c r="Z7" s="3"/>
      <c r="AC7" s="3"/>
      <c r="AK7" s="3"/>
      <c r="AS7" s="3"/>
      <c r="BA7" s="3"/>
      <c r="BI7" s="3"/>
      <c r="BQ7"/>
    </row>
    <row r="8" spans="1:74" x14ac:dyDescent="0.3">
      <c r="A8"/>
      <c r="B8" s="12"/>
      <c r="C8" s="15"/>
      <c r="D8" s="12"/>
      <c r="N8" s="3"/>
      <c r="O8" s="3"/>
      <c r="P8" s="3"/>
      <c r="Q8" s="3"/>
      <c r="V8" s="3"/>
      <c r="Y8" s="3"/>
      <c r="Z8" s="3"/>
      <c r="AC8" s="3"/>
      <c r="AK8" s="3"/>
      <c r="AS8" s="3"/>
      <c r="BA8" s="3"/>
      <c r="BI8" s="3"/>
      <c r="BQ8"/>
    </row>
    <row r="9" spans="1:74" x14ac:dyDescent="0.3">
      <c r="A9"/>
      <c r="B9" s="12"/>
      <c r="C9" s="15"/>
      <c r="D9" s="12"/>
      <c r="N9" s="3"/>
      <c r="O9" s="3"/>
      <c r="P9" s="3"/>
      <c r="Q9" s="3"/>
      <c r="V9" s="3"/>
      <c r="Y9" s="3"/>
      <c r="Z9" s="3"/>
      <c r="AC9" s="3"/>
      <c r="AK9" s="3"/>
      <c r="AS9" s="3"/>
      <c r="BA9" s="3"/>
      <c r="BI9" s="3"/>
      <c r="BQ9"/>
    </row>
    <row r="10" spans="1:74" x14ac:dyDescent="0.3">
      <c r="A10"/>
      <c r="N10" s="3"/>
      <c r="O10" s="3"/>
      <c r="P10" s="3"/>
      <c r="Q10" s="3"/>
      <c r="V10" s="3"/>
      <c r="Y10" s="3"/>
      <c r="Z10" s="3"/>
      <c r="AC10" s="3"/>
      <c r="AK10" s="3"/>
      <c r="AS10" s="3"/>
      <c r="BA10" s="3"/>
      <c r="BI10" s="3"/>
      <c r="BQ10"/>
    </row>
    <row r="11" spans="1:74" x14ac:dyDescent="0.3">
      <c r="A11"/>
      <c r="N11" s="3"/>
      <c r="O11" s="3"/>
      <c r="P11" s="3"/>
      <c r="Q11" s="3"/>
      <c r="V11" s="3"/>
      <c r="Y11" s="3"/>
      <c r="Z11" s="3"/>
      <c r="AC11" s="3"/>
      <c r="AK11" s="3"/>
      <c r="AS11" s="3"/>
      <c r="BA11" s="3"/>
      <c r="BI11" s="3"/>
      <c r="BQ11"/>
    </row>
    <row r="12" spans="1:74" x14ac:dyDescent="0.3">
      <c r="A12"/>
      <c r="N12" s="3"/>
      <c r="O12" s="3"/>
      <c r="P12" s="3"/>
      <c r="Q12" s="3"/>
      <c r="V12" s="3"/>
      <c r="Y12" s="3"/>
      <c r="Z12" s="3"/>
      <c r="AC12" s="3"/>
      <c r="AK12" s="3"/>
      <c r="AS12" s="3"/>
      <c r="BA12" s="3"/>
      <c r="BI12" s="3"/>
      <c r="BQ12"/>
    </row>
    <row r="13" spans="1:74" x14ac:dyDescent="0.3">
      <c r="A13"/>
      <c r="N13" s="3"/>
      <c r="O13" s="3"/>
      <c r="P13" s="3"/>
      <c r="Q13" s="3"/>
      <c r="V13" s="3"/>
      <c r="Y13" s="3"/>
      <c r="Z13" s="3"/>
      <c r="AC13" s="3"/>
      <c r="AK13" s="3"/>
      <c r="AS13" s="3"/>
      <c r="BA13" s="3"/>
      <c r="BI13" s="3"/>
      <c r="BQ13"/>
    </row>
    <row r="14" spans="1:74" x14ac:dyDescent="0.3">
      <c r="A14"/>
      <c r="N14" s="3"/>
      <c r="O14" s="3"/>
      <c r="P14" s="3"/>
      <c r="Q14" s="3"/>
      <c r="V14" s="3"/>
      <c r="Y14" s="3"/>
      <c r="Z14" s="3"/>
      <c r="AC14" s="3"/>
      <c r="AK14" s="3"/>
      <c r="AS14" s="3"/>
      <c r="BA14" s="3"/>
      <c r="BI14" s="3"/>
      <c r="BQ14"/>
    </row>
    <row r="15" spans="1:74" x14ac:dyDescent="0.3">
      <c r="A15"/>
      <c r="N15" s="3"/>
      <c r="O15" s="3"/>
      <c r="P15" s="3"/>
      <c r="Q15" s="3"/>
      <c r="V15" s="3"/>
      <c r="Y15" s="3"/>
      <c r="Z15" s="3"/>
      <c r="AC15" s="3"/>
      <c r="AK15" s="3"/>
      <c r="AS15" s="3"/>
      <c r="BA15" s="3"/>
      <c r="BI15" s="3"/>
      <c r="BQ15"/>
    </row>
    <row r="16" spans="1:74" x14ac:dyDescent="0.3">
      <c r="A16"/>
      <c r="N16" s="3"/>
      <c r="O16" s="3"/>
      <c r="P16" s="3"/>
      <c r="Q16" s="3"/>
      <c r="V16" s="3"/>
      <c r="Y16" s="3"/>
      <c r="Z16" s="3"/>
      <c r="AC16" s="3"/>
      <c r="AK16" s="3"/>
      <c r="AS16" s="3"/>
      <c r="BA16" s="3"/>
      <c r="BI16" s="3"/>
      <c r="BQ16"/>
    </row>
    <row r="17" spans="2:70" customFormat="1" x14ac:dyDescent="0.3">
      <c r="B17" s="6"/>
      <c r="C17" s="6"/>
      <c r="D17" s="6"/>
      <c r="E17" s="3"/>
      <c r="F17" s="23"/>
      <c r="G17" s="3"/>
      <c r="H17" s="3"/>
      <c r="M17" s="1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7"/>
      <c r="AE17" s="7"/>
      <c r="AF17" s="7"/>
      <c r="AG17" s="7"/>
      <c r="AH17" s="3"/>
      <c r="AI17" s="3"/>
      <c r="AJ17" s="3"/>
      <c r="AK17" s="3"/>
      <c r="AL17" s="7"/>
      <c r="AM17" s="22"/>
      <c r="AN17" s="22"/>
      <c r="AO17" s="22"/>
      <c r="AP17" s="3"/>
      <c r="AQ17" s="3"/>
      <c r="AR17" s="3"/>
      <c r="AS17" s="3"/>
      <c r="AT17" s="7"/>
      <c r="AU17" s="24"/>
      <c r="AV17" s="24"/>
      <c r="AW17" s="24"/>
      <c r="AX17" s="3"/>
      <c r="AY17" s="3"/>
      <c r="AZ17" s="3"/>
      <c r="BA17" s="3"/>
      <c r="BB17" s="3"/>
      <c r="BC17" s="24"/>
      <c r="BD17" s="24"/>
      <c r="BE17" s="24"/>
      <c r="BF17" s="3"/>
      <c r="BG17" s="3"/>
      <c r="BH17" s="3"/>
      <c r="BI17" s="3"/>
      <c r="BJ17" s="3"/>
      <c r="BK17" s="3"/>
      <c r="BR17" s="3"/>
    </row>
    <row r="18" spans="2:70" customFormat="1" x14ac:dyDescent="0.3">
      <c r="B18" s="6"/>
      <c r="C18" s="6"/>
      <c r="D18" s="6"/>
      <c r="E18" s="3"/>
      <c r="F18" s="23"/>
      <c r="G18" s="3"/>
      <c r="H18" s="3"/>
      <c r="M18" s="1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7"/>
      <c r="AE18" s="7"/>
      <c r="AF18" s="7"/>
      <c r="AG18" s="7"/>
      <c r="AH18" s="3"/>
      <c r="AI18" s="3"/>
      <c r="AJ18" s="3"/>
      <c r="AK18" s="3"/>
      <c r="AL18" s="7"/>
      <c r="AM18" s="22"/>
      <c r="AN18" s="22"/>
      <c r="AO18" s="22"/>
      <c r="AP18" s="3"/>
      <c r="AQ18" s="3"/>
      <c r="AR18" s="3"/>
      <c r="AS18" s="3"/>
      <c r="AT18" s="7"/>
      <c r="AU18" s="24"/>
      <c r="AV18" s="24"/>
      <c r="AW18" s="24"/>
      <c r="AX18" s="3"/>
      <c r="AY18" s="3"/>
      <c r="AZ18" s="3"/>
      <c r="BA18" s="3"/>
      <c r="BB18" s="3"/>
      <c r="BC18" s="24"/>
      <c r="BD18" s="24"/>
      <c r="BE18" s="24"/>
      <c r="BF18" s="3"/>
      <c r="BG18" s="3"/>
      <c r="BH18" s="3"/>
      <c r="BI18" s="3"/>
      <c r="BJ18" s="3"/>
      <c r="BK18" s="3"/>
      <c r="BR18" s="3"/>
    </row>
    <row r="19" spans="2:70" customFormat="1" x14ac:dyDescent="0.3">
      <c r="B19" s="6"/>
      <c r="C19" s="6"/>
      <c r="D19" s="6"/>
      <c r="E19" s="3"/>
      <c r="F19" s="23"/>
      <c r="G19" s="3"/>
      <c r="H19" s="3"/>
      <c r="M19" s="1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7"/>
      <c r="AE19" s="7"/>
      <c r="AF19" s="7"/>
      <c r="AG19" s="7"/>
      <c r="AH19" s="3"/>
      <c r="AI19" s="3"/>
      <c r="AJ19" s="3"/>
      <c r="AK19" s="3"/>
      <c r="AL19" s="7"/>
      <c r="AM19" s="22"/>
      <c r="AN19" s="22"/>
      <c r="AO19" s="22"/>
      <c r="AP19" s="3"/>
      <c r="AQ19" s="3"/>
      <c r="AR19" s="3"/>
      <c r="AS19" s="3"/>
      <c r="AT19" s="7"/>
      <c r="AU19" s="24"/>
      <c r="AV19" s="24"/>
      <c r="AW19" s="24"/>
      <c r="AX19" s="3"/>
      <c r="AY19" s="3"/>
      <c r="AZ19" s="3"/>
      <c r="BA19" s="3"/>
      <c r="BB19" s="3"/>
      <c r="BC19" s="24"/>
      <c r="BD19" s="24"/>
      <c r="BE19" s="24"/>
      <c r="BF19" s="3"/>
      <c r="BG19" s="3"/>
      <c r="BH19" s="3"/>
      <c r="BI19" s="3"/>
      <c r="BJ19" s="3"/>
      <c r="BK19" s="3"/>
      <c r="BR19" s="3"/>
    </row>
    <row r="20" spans="2:70" customFormat="1" x14ac:dyDescent="0.3">
      <c r="B20" s="6"/>
      <c r="C20" s="6"/>
      <c r="D20" s="6"/>
      <c r="E20" s="3"/>
      <c r="F20" s="23"/>
      <c r="G20" s="3"/>
      <c r="H20" s="3"/>
      <c r="M20" s="1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7"/>
      <c r="AE20" s="7"/>
      <c r="AF20" s="7"/>
      <c r="AG20" s="7"/>
      <c r="AH20" s="3"/>
      <c r="AI20" s="3"/>
      <c r="AJ20" s="3"/>
      <c r="AK20" s="3"/>
      <c r="AL20" s="7"/>
      <c r="AM20" s="22"/>
      <c r="AN20" s="22"/>
      <c r="AO20" s="22"/>
      <c r="AP20" s="3"/>
      <c r="AQ20" s="3"/>
      <c r="AR20" s="3"/>
      <c r="AS20" s="3"/>
      <c r="AT20" s="7"/>
      <c r="AU20" s="24"/>
      <c r="AV20" s="24"/>
      <c r="AW20" s="24"/>
      <c r="AX20" s="3"/>
      <c r="AY20" s="3"/>
      <c r="AZ20" s="3"/>
      <c r="BA20" s="3"/>
      <c r="BB20" s="3"/>
      <c r="BC20" s="24"/>
      <c r="BD20" s="24"/>
      <c r="BE20" s="24"/>
      <c r="BF20" s="3"/>
      <c r="BG20" s="3"/>
      <c r="BH20" s="3"/>
      <c r="BI20" s="3"/>
      <c r="BJ20" s="3"/>
      <c r="BK20" s="3"/>
      <c r="BR20" s="3"/>
    </row>
    <row r="21" spans="2:70" customFormat="1" x14ac:dyDescent="0.3">
      <c r="B21" s="6"/>
      <c r="C21" s="6"/>
      <c r="D21" s="6"/>
      <c r="E21" s="3"/>
      <c r="F21" s="23"/>
      <c r="G21" s="3"/>
      <c r="H21" s="3"/>
      <c r="M21" s="1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7"/>
      <c r="AE21" s="7"/>
      <c r="AF21" s="7"/>
      <c r="AG21" s="7"/>
      <c r="AH21" s="3"/>
      <c r="AI21" s="3"/>
      <c r="AJ21" s="3"/>
      <c r="AK21" s="3"/>
      <c r="AL21" s="7"/>
      <c r="AM21" s="22"/>
      <c r="AN21" s="22"/>
      <c r="AO21" s="22"/>
      <c r="AP21" s="3"/>
      <c r="AQ21" s="3"/>
      <c r="AR21" s="3"/>
      <c r="AS21" s="3"/>
      <c r="AT21" s="7"/>
      <c r="AU21" s="24"/>
      <c r="AV21" s="24"/>
      <c r="AW21" s="24"/>
      <c r="AX21" s="3"/>
      <c r="AY21" s="3"/>
      <c r="AZ21" s="3"/>
      <c r="BA21" s="3"/>
      <c r="BB21" s="3"/>
      <c r="BC21" s="24"/>
      <c r="BD21" s="24"/>
      <c r="BE21" s="24"/>
      <c r="BF21" s="3"/>
      <c r="BG21" s="3"/>
      <c r="BH21" s="3"/>
      <c r="BI21" s="3"/>
      <c r="BJ21" s="3"/>
      <c r="BK21" s="3"/>
      <c r="BR21" s="3"/>
    </row>
    <row r="22" spans="2:70" customFormat="1" x14ac:dyDescent="0.3">
      <c r="B22" s="6"/>
      <c r="C22" s="6"/>
      <c r="D22" s="6"/>
      <c r="E22" s="3"/>
      <c r="F22" s="23"/>
      <c r="G22" s="3"/>
      <c r="H22" s="3"/>
      <c r="M22" s="11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7"/>
      <c r="AE22" s="7"/>
      <c r="AF22" s="7"/>
      <c r="AG22" s="7"/>
      <c r="AH22" s="3"/>
      <c r="AI22" s="3"/>
      <c r="AJ22" s="3"/>
      <c r="AK22" s="3"/>
      <c r="AL22" s="7"/>
      <c r="AM22" s="22"/>
      <c r="AN22" s="22"/>
      <c r="AO22" s="22"/>
      <c r="AP22" s="3"/>
      <c r="AQ22" s="3"/>
      <c r="AR22" s="3"/>
      <c r="AS22" s="3"/>
      <c r="AT22" s="7"/>
      <c r="AU22" s="24"/>
      <c r="AV22" s="24"/>
      <c r="AW22" s="24"/>
      <c r="AX22" s="3"/>
      <c r="AY22" s="3"/>
      <c r="AZ22" s="3"/>
      <c r="BA22" s="3"/>
      <c r="BB22" s="3"/>
      <c r="BC22" s="24"/>
      <c r="BD22" s="24"/>
      <c r="BE22" s="24"/>
      <c r="BF22" s="3"/>
      <c r="BG22" s="3"/>
      <c r="BH22" s="3"/>
      <c r="BI22" s="3"/>
      <c r="BJ22" s="3"/>
      <c r="BK22" s="3"/>
      <c r="BR22" s="3"/>
    </row>
    <row r="23" spans="2:70" customFormat="1" x14ac:dyDescent="0.3">
      <c r="B23" s="6"/>
      <c r="C23" s="6"/>
      <c r="D23" s="6"/>
      <c r="E23" s="3"/>
      <c r="F23" s="23"/>
      <c r="G23" s="3"/>
      <c r="H23" s="3"/>
      <c r="M23" s="1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7"/>
      <c r="AE23" s="7"/>
      <c r="AF23" s="7"/>
      <c r="AG23" s="7"/>
      <c r="AH23" s="3"/>
      <c r="AI23" s="3"/>
      <c r="AJ23" s="3"/>
      <c r="AK23" s="3"/>
      <c r="AL23" s="7"/>
      <c r="AM23" s="22"/>
      <c r="AN23" s="22"/>
      <c r="AO23" s="22"/>
      <c r="AP23" s="3"/>
      <c r="AQ23" s="3"/>
      <c r="AR23" s="3"/>
      <c r="AS23" s="3"/>
      <c r="AT23" s="7"/>
      <c r="AU23" s="24"/>
      <c r="AV23" s="24"/>
      <c r="AW23" s="24"/>
      <c r="AX23" s="3"/>
      <c r="AY23" s="3"/>
      <c r="AZ23" s="3"/>
      <c r="BA23" s="3"/>
      <c r="BB23" s="3"/>
      <c r="BC23" s="24"/>
      <c r="BD23" s="24"/>
      <c r="BE23" s="24"/>
      <c r="BF23" s="3"/>
      <c r="BG23" s="3"/>
      <c r="BH23" s="3"/>
      <c r="BI23" s="3"/>
      <c r="BJ23" s="3"/>
      <c r="BK23" s="3"/>
      <c r="BR23" s="3"/>
    </row>
    <row r="24" spans="2:70" customFormat="1" x14ac:dyDescent="0.3">
      <c r="B24" s="6"/>
      <c r="C24" s="6"/>
      <c r="D24" s="6"/>
      <c r="E24" s="3"/>
      <c r="F24" s="23"/>
      <c r="G24" s="3"/>
      <c r="H24" s="3"/>
      <c r="M24" s="1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7"/>
      <c r="AE24" s="7"/>
      <c r="AF24" s="7"/>
      <c r="AG24" s="7"/>
      <c r="AH24" s="3"/>
      <c r="AI24" s="3"/>
      <c r="AJ24" s="3"/>
      <c r="AK24" s="3"/>
      <c r="AL24" s="7"/>
      <c r="AM24" s="22"/>
      <c r="AN24" s="22"/>
      <c r="AO24" s="22"/>
      <c r="AP24" s="3"/>
      <c r="AQ24" s="3"/>
      <c r="AR24" s="3"/>
      <c r="AS24" s="3"/>
      <c r="AT24" s="7"/>
      <c r="AU24" s="24"/>
      <c r="AV24" s="24"/>
      <c r="AW24" s="24"/>
      <c r="AX24" s="3"/>
      <c r="AY24" s="3"/>
      <c r="AZ24" s="3"/>
      <c r="BA24" s="3"/>
      <c r="BB24" s="3"/>
      <c r="BC24" s="24"/>
      <c r="BD24" s="24"/>
      <c r="BE24" s="24"/>
      <c r="BF24" s="3"/>
      <c r="BG24" s="3"/>
      <c r="BH24" s="3"/>
      <c r="BI24" s="3"/>
      <c r="BJ24" s="3"/>
      <c r="BK24" s="3"/>
      <c r="BR24" s="3"/>
    </row>
    <row r="25" spans="2:70" customFormat="1" x14ac:dyDescent="0.3">
      <c r="B25" s="6"/>
      <c r="C25" s="6"/>
      <c r="D25" s="6"/>
      <c r="E25" s="3"/>
      <c r="F25" s="23"/>
      <c r="G25" s="3"/>
      <c r="H25" s="3"/>
      <c r="M25" s="1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7"/>
      <c r="AE25" s="7"/>
      <c r="AF25" s="7"/>
      <c r="AG25" s="7"/>
      <c r="AH25" s="3"/>
      <c r="AI25" s="3"/>
      <c r="AJ25" s="3"/>
      <c r="AK25" s="3"/>
      <c r="AL25" s="7"/>
      <c r="AM25" s="22"/>
      <c r="AN25" s="22"/>
      <c r="AO25" s="22"/>
      <c r="AP25" s="3"/>
      <c r="AQ25" s="3"/>
      <c r="AR25" s="3"/>
      <c r="AS25" s="3"/>
      <c r="AT25" s="7"/>
      <c r="AU25" s="24"/>
      <c r="AV25" s="24"/>
      <c r="AW25" s="24"/>
      <c r="AX25" s="3"/>
      <c r="AY25" s="3"/>
      <c r="AZ25" s="3"/>
      <c r="BA25" s="3"/>
      <c r="BB25" s="3"/>
      <c r="BC25" s="24"/>
      <c r="BD25" s="24"/>
      <c r="BE25" s="24"/>
      <c r="BF25" s="3"/>
      <c r="BG25" s="3"/>
      <c r="BH25" s="3"/>
      <c r="BI25" s="3"/>
      <c r="BJ25" s="3"/>
      <c r="BK25" s="3"/>
      <c r="BR25" s="3"/>
    </row>
    <row r="26" spans="2:70" customFormat="1" x14ac:dyDescent="0.3">
      <c r="B26" s="6"/>
      <c r="C26" s="6"/>
      <c r="D26" s="6"/>
      <c r="E26" s="3"/>
      <c r="F26" s="23"/>
      <c r="G26" s="3"/>
      <c r="H26" s="3"/>
      <c r="M26" s="1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7"/>
      <c r="AE26" s="7"/>
      <c r="AF26" s="7"/>
      <c r="AG26" s="7"/>
      <c r="AH26" s="3"/>
      <c r="AI26" s="3"/>
      <c r="AJ26" s="3"/>
      <c r="AK26" s="3"/>
      <c r="AL26" s="7"/>
      <c r="AM26" s="22"/>
      <c r="AN26" s="22"/>
      <c r="AO26" s="22"/>
      <c r="AP26" s="3"/>
      <c r="AQ26" s="3"/>
      <c r="AR26" s="3"/>
      <c r="AS26" s="3"/>
      <c r="AT26" s="7"/>
      <c r="AU26" s="24"/>
      <c r="AV26" s="24"/>
      <c r="AW26" s="24"/>
      <c r="AX26" s="3"/>
      <c r="AY26" s="3"/>
      <c r="AZ26" s="3"/>
      <c r="BA26" s="3"/>
      <c r="BB26" s="3"/>
      <c r="BC26" s="24"/>
      <c r="BD26" s="24"/>
      <c r="BE26" s="24"/>
      <c r="BF26" s="3"/>
      <c r="BG26" s="3"/>
      <c r="BH26" s="3"/>
      <c r="BI26" s="3"/>
      <c r="BJ26" s="3"/>
      <c r="BK26" s="3"/>
      <c r="BR26" s="3"/>
    </row>
    <row r="27" spans="2:70" customFormat="1" x14ac:dyDescent="0.3">
      <c r="B27" s="6"/>
      <c r="C27" s="6"/>
      <c r="D27" s="6"/>
      <c r="E27" s="3"/>
      <c r="F27" s="23"/>
      <c r="G27" s="3"/>
      <c r="H27" s="3"/>
      <c r="M27" s="1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7"/>
      <c r="AE27" s="7"/>
      <c r="AF27" s="7"/>
      <c r="AG27" s="7"/>
      <c r="AH27" s="3"/>
      <c r="AI27" s="3"/>
      <c r="AJ27" s="3"/>
      <c r="AK27" s="3"/>
      <c r="AL27" s="7"/>
      <c r="AM27" s="22"/>
      <c r="AN27" s="22"/>
      <c r="AO27" s="22"/>
      <c r="AP27" s="3"/>
      <c r="AQ27" s="3"/>
      <c r="AR27" s="3"/>
      <c r="AS27" s="3"/>
      <c r="AT27" s="7"/>
      <c r="AU27" s="24"/>
      <c r="AV27" s="24"/>
      <c r="AW27" s="24"/>
      <c r="AX27" s="3"/>
      <c r="AY27" s="3"/>
      <c r="AZ27" s="3"/>
      <c r="BA27" s="3"/>
      <c r="BB27" s="3"/>
      <c r="BC27" s="24"/>
      <c r="BD27" s="24"/>
      <c r="BE27" s="24"/>
      <c r="BF27" s="3"/>
      <c r="BG27" s="3"/>
      <c r="BH27" s="3"/>
      <c r="BI27" s="3"/>
      <c r="BJ27" s="3"/>
      <c r="BK27" s="3"/>
      <c r="BR27" s="3"/>
    </row>
    <row r="28" spans="2:70" customFormat="1" x14ac:dyDescent="0.3">
      <c r="B28" s="6"/>
      <c r="C28" s="6"/>
      <c r="D28" s="6"/>
      <c r="E28" s="3"/>
      <c r="F28" s="23"/>
      <c r="G28" s="3"/>
      <c r="H28" s="3"/>
      <c r="M28" s="11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7"/>
      <c r="AE28" s="7"/>
      <c r="AF28" s="7"/>
      <c r="AG28" s="7"/>
      <c r="AH28" s="3"/>
      <c r="AI28" s="3"/>
      <c r="AJ28" s="3"/>
      <c r="AK28" s="3"/>
      <c r="AL28" s="7"/>
      <c r="AM28" s="22"/>
      <c r="AN28" s="22"/>
      <c r="AO28" s="22"/>
      <c r="AP28" s="3"/>
      <c r="AQ28" s="3"/>
      <c r="AR28" s="3"/>
      <c r="AS28" s="3"/>
      <c r="AT28" s="7"/>
      <c r="AU28" s="24"/>
      <c r="AV28" s="24"/>
      <c r="AW28" s="24"/>
      <c r="AX28" s="3"/>
      <c r="AY28" s="3"/>
      <c r="AZ28" s="3"/>
      <c r="BA28" s="3"/>
      <c r="BB28" s="3"/>
      <c r="BC28" s="24"/>
      <c r="BD28" s="24"/>
      <c r="BE28" s="24"/>
      <c r="BF28" s="3"/>
      <c r="BG28" s="3"/>
      <c r="BH28" s="3"/>
      <c r="BI28" s="3"/>
      <c r="BJ28" s="3"/>
      <c r="BK28" s="3"/>
      <c r="BR28" s="3"/>
    </row>
    <row r="29" spans="2:70" customFormat="1" x14ac:dyDescent="0.3">
      <c r="B29" s="6"/>
      <c r="C29" s="6"/>
      <c r="D29" s="6"/>
      <c r="E29" s="3"/>
      <c r="F29" s="23"/>
      <c r="G29" s="3"/>
      <c r="H29" s="3"/>
      <c r="M29" s="1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7"/>
      <c r="AE29" s="7"/>
      <c r="AF29" s="7"/>
      <c r="AG29" s="7"/>
      <c r="AH29" s="3"/>
      <c r="AI29" s="3"/>
      <c r="AJ29" s="3"/>
      <c r="AK29" s="3"/>
      <c r="AL29" s="7"/>
      <c r="AM29" s="22"/>
      <c r="AN29" s="22"/>
      <c r="AO29" s="22"/>
      <c r="AP29" s="3"/>
      <c r="AQ29" s="3"/>
      <c r="AR29" s="3"/>
      <c r="AS29" s="3"/>
      <c r="AT29" s="7"/>
      <c r="AU29" s="24"/>
      <c r="AV29" s="24"/>
      <c r="AW29" s="24"/>
      <c r="AX29" s="3"/>
      <c r="AY29" s="3"/>
      <c r="AZ29" s="3"/>
      <c r="BA29" s="3"/>
      <c r="BB29" s="3"/>
      <c r="BC29" s="24"/>
      <c r="BD29" s="24"/>
      <c r="BE29" s="24"/>
      <c r="BF29" s="3"/>
      <c r="BG29" s="3"/>
      <c r="BH29" s="3"/>
      <c r="BI29" s="3"/>
      <c r="BJ29" s="3"/>
      <c r="BK29" s="3"/>
      <c r="BR29" s="3"/>
    </row>
    <row r="30" spans="2:70" customFormat="1" x14ac:dyDescent="0.3">
      <c r="B30" s="6"/>
      <c r="C30" s="6"/>
      <c r="D30" s="6"/>
      <c r="E30" s="3"/>
      <c r="F30" s="23"/>
      <c r="G30" s="3"/>
      <c r="H30" s="3"/>
      <c r="M30" s="11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7"/>
      <c r="AE30" s="7"/>
      <c r="AF30" s="7"/>
      <c r="AG30" s="7"/>
      <c r="AH30" s="3"/>
      <c r="AI30" s="3"/>
      <c r="AJ30" s="3"/>
      <c r="AK30" s="3"/>
      <c r="AL30" s="7"/>
      <c r="AM30" s="22"/>
      <c r="AN30" s="22"/>
      <c r="AO30" s="22"/>
      <c r="AP30" s="3"/>
      <c r="AQ30" s="3"/>
      <c r="AR30" s="3"/>
      <c r="AS30" s="3"/>
      <c r="AT30" s="7"/>
      <c r="AU30" s="24"/>
      <c r="AV30" s="24"/>
      <c r="AW30" s="24"/>
      <c r="AX30" s="3"/>
      <c r="AY30" s="3"/>
      <c r="AZ30" s="3"/>
      <c r="BA30" s="3"/>
      <c r="BB30" s="3"/>
      <c r="BC30" s="24"/>
      <c r="BD30" s="24"/>
      <c r="BE30" s="24"/>
      <c r="BF30" s="3"/>
      <c r="BG30" s="3"/>
      <c r="BH30" s="3"/>
      <c r="BI30" s="3"/>
      <c r="BJ30" s="3"/>
      <c r="BK30" s="3"/>
      <c r="BR30" s="3"/>
    </row>
    <row r="31" spans="2:70" customFormat="1" x14ac:dyDescent="0.3">
      <c r="B31" s="6"/>
      <c r="C31" s="6"/>
      <c r="D31" s="6"/>
      <c r="E31" s="3"/>
      <c r="F31" s="23"/>
      <c r="G31" s="3"/>
      <c r="H31" s="3"/>
      <c r="M31" s="1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7"/>
      <c r="AE31" s="7"/>
      <c r="AF31" s="7"/>
      <c r="AG31" s="7"/>
      <c r="AH31" s="3"/>
      <c r="AI31" s="3"/>
      <c r="AJ31" s="3"/>
      <c r="AK31" s="3"/>
      <c r="AL31" s="7"/>
      <c r="AM31" s="22"/>
      <c r="AN31" s="22"/>
      <c r="AO31" s="22"/>
      <c r="AP31" s="3"/>
      <c r="AQ31" s="3"/>
      <c r="AR31" s="3"/>
      <c r="AS31" s="3"/>
      <c r="AT31" s="7"/>
      <c r="AU31" s="24"/>
      <c r="AV31" s="24"/>
      <c r="AW31" s="24"/>
      <c r="AX31" s="3"/>
      <c r="AY31" s="3"/>
      <c r="AZ31" s="3"/>
      <c r="BA31" s="3"/>
      <c r="BB31" s="3"/>
      <c r="BC31" s="24"/>
      <c r="BD31" s="24"/>
      <c r="BE31" s="24"/>
      <c r="BF31" s="3"/>
      <c r="BG31" s="3"/>
      <c r="BH31" s="3"/>
      <c r="BI31" s="3"/>
      <c r="BJ31" s="3"/>
      <c r="BK31" s="3"/>
      <c r="BR31" s="3"/>
    </row>
    <row r="32" spans="2:70" customFormat="1" x14ac:dyDescent="0.3">
      <c r="B32" s="6"/>
      <c r="C32" s="6"/>
      <c r="D32" s="6"/>
      <c r="E32" s="3"/>
      <c r="F32" s="23"/>
      <c r="G32" s="3"/>
      <c r="H32" s="3"/>
      <c r="M32" s="11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7"/>
      <c r="AE32" s="7"/>
      <c r="AF32" s="7"/>
      <c r="AG32" s="7"/>
      <c r="AH32" s="3"/>
      <c r="AI32" s="3"/>
      <c r="AJ32" s="3"/>
      <c r="AK32" s="3"/>
      <c r="AL32" s="7"/>
      <c r="AM32" s="22"/>
      <c r="AN32" s="22"/>
      <c r="AO32" s="22"/>
      <c r="AP32" s="3"/>
      <c r="AQ32" s="3"/>
      <c r="AR32" s="3"/>
      <c r="AS32" s="3"/>
      <c r="AT32" s="7"/>
      <c r="AU32" s="24"/>
      <c r="AV32" s="24"/>
      <c r="AW32" s="24"/>
      <c r="AX32" s="3"/>
      <c r="AY32" s="3"/>
      <c r="AZ32" s="3"/>
      <c r="BA32" s="3"/>
      <c r="BB32" s="3"/>
      <c r="BC32" s="24"/>
      <c r="BD32" s="24"/>
      <c r="BE32" s="24"/>
      <c r="BF32" s="3"/>
      <c r="BG32" s="3"/>
      <c r="BH32" s="3"/>
      <c r="BI32" s="3"/>
      <c r="BJ32" s="3"/>
      <c r="BK32" s="3"/>
      <c r="BR32" s="3"/>
    </row>
    <row r="33" spans="2:70" customFormat="1" x14ac:dyDescent="0.3">
      <c r="B33" s="6"/>
      <c r="C33" s="6"/>
      <c r="D33" s="6"/>
      <c r="E33" s="3"/>
      <c r="F33" s="23"/>
      <c r="G33" s="3"/>
      <c r="H33" s="3"/>
      <c r="M33" s="11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7"/>
      <c r="AE33" s="7"/>
      <c r="AF33" s="7"/>
      <c r="AG33" s="7"/>
      <c r="AH33" s="3"/>
      <c r="AI33" s="3"/>
      <c r="AJ33" s="3"/>
      <c r="AK33" s="3"/>
      <c r="AL33" s="7"/>
      <c r="AM33" s="22"/>
      <c r="AN33" s="22"/>
      <c r="AO33" s="22"/>
      <c r="AP33" s="3"/>
      <c r="AQ33" s="3"/>
      <c r="AR33" s="3"/>
      <c r="AS33" s="3"/>
      <c r="AT33" s="7"/>
      <c r="AU33" s="24"/>
      <c r="AV33" s="24"/>
      <c r="AW33" s="24"/>
      <c r="AX33" s="3"/>
      <c r="AY33" s="3"/>
      <c r="AZ33" s="3"/>
      <c r="BA33" s="3"/>
      <c r="BB33" s="3"/>
      <c r="BC33" s="24"/>
      <c r="BD33" s="24"/>
      <c r="BE33" s="24"/>
      <c r="BF33" s="3"/>
      <c r="BG33" s="3"/>
      <c r="BH33" s="3"/>
      <c r="BI33" s="3"/>
      <c r="BJ33" s="3"/>
      <c r="BK33" s="3"/>
      <c r="BR33" s="3"/>
    </row>
    <row r="34" spans="2:70" customFormat="1" x14ac:dyDescent="0.3">
      <c r="B34" s="6"/>
      <c r="C34" s="6"/>
      <c r="D34" s="6"/>
      <c r="E34" s="3"/>
      <c r="F34" s="23"/>
      <c r="G34" s="3"/>
      <c r="H34" s="3"/>
      <c r="M34" s="11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7"/>
      <c r="AE34" s="7"/>
      <c r="AF34" s="7"/>
      <c r="AG34" s="7"/>
      <c r="AH34" s="3"/>
      <c r="AI34" s="3"/>
      <c r="AJ34" s="3"/>
      <c r="AK34" s="3"/>
      <c r="AL34" s="7"/>
      <c r="AM34" s="22"/>
      <c r="AN34" s="22"/>
      <c r="AO34" s="22"/>
      <c r="AP34" s="3"/>
      <c r="AQ34" s="3"/>
      <c r="AR34" s="3"/>
      <c r="AS34" s="3"/>
      <c r="AT34" s="7"/>
      <c r="AU34" s="24"/>
      <c r="AV34" s="24"/>
      <c r="AW34" s="24"/>
      <c r="AX34" s="3"/>
      <c r="AY34" s="3"/>
      <c r="AZ34" s="3"/>
      <c r="BA34" s="3"/>
      <c r="BB34" s="3"/>
      <c r="BC34" s="24"/>
      <c r="BD34" s="24"/>
      <c r="BE34" s="24"/>
      <c r="BF34" s="3"/>
      <c r="BG34" s="3"/>
      <c r="BH34" s="3"/>
      <c r="BI34" s="3"/>
      <c r="BJ34" s="3"/>
      <c r="BK34" s="3"/>
      <c r="BR34" s="3"/>
    </row>
    <row r="35" spans="2:70" customFormat="1" x14ac:dyDescent="0.3">
      <c r="B35" s="6"/>
      <c r="C35" s="6"/>
      <c r="D35" s="6"/>
      <c r="E35" s="3"/>
      <c r="F35" s="23"/>
      <c r="G35" s="3"/>
      <c r="H35" s="3"/>
      <c r="M35" s="11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7"/>
      <c r="AE35" s="7"/>
      <c r="AF35" s="7"/>
      <c r="AG35" s="7"/>
      <c r="AH35" s="3"/>
      <c r="AI35" s="3"/>
      <c r="AJ35" s="3"/>
      <c r="AK35" s="3"/>
      <c r="AL35" s="7"/>
      <c r="AM35" s="22"/>
      <c r="AN35" s="22"/>
      <c r="AO35" s="22"/>
      <c r="AP35" s="3"/>
      <c r="AQ35" s="3"/>
      <c r="AR35" s="3"/>
      <c r="AS35" s="3"/>
      <c r="AT35" s="7"/>
      <c r="AU35" s="24"/>
      <c r="AV35" s="24"/>
      <c r="AW35" s="24"/>
      <c r="AX35" s="3"/>
      <c r="AY35" s="3"/>
      <c r="AZ35" s="3"/>
      <c r="BA35" s="3"/>
      <c r="BB35" s="3"/>
      <c r="BC35" s="24"/>
      <c r="BD35" s="24"/>
      <c r="BE35" s="24"/>
      <c r="BF35" s="3"/>
      <c r="BG35" s="3"/>
      <c r="BH35" s="3"/>
      <c r="BI35" s="3"/>
      <c r="BJ35" s="3"/>
      <c r="BK35" s="3"/>
      <c r="BR35" s="3"/>
    </row>
    <row r="36" spans="2:70" customFormat="1" x14ac:dyDescent="0.3">
      <c r="B36" s="6"/>
      <c r="C36" s="6"/>
      <c r="D36" s="6"/>
      <c r="E36" s="3"/>
      <c r="F36" s="23"/>
      <c r="G36" s="3"/>
      <c r="H36" s="3"/>
      <c r="M36" s="11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7"/>
      <c r="AE36" s="7"/>
      <c r="AF36" s="7"/>
      <c r="AG36" s="7"/>
      <c r="AH36" s="3"/>
      <c r="AI36" s="3"/>
      <c r="AJ36" s="3"/>
      <c r="AK36" s="3"/>
      <c r="AL36" s="7"/>
      <c r="AM36" s="22"/>
      <c r="AN36" s="22"/>
      <c r="AO36" s="22"/>
      <c r="AP36" s="3"/>
      <c r="AQ36" s="3"/>
      <c r="AR36" s="3"/>
      <c r="AS36" s="3"/>
      <c r="AT36" s="7"/>
      <c r="AU36" s="24"/>
      <c r="AV36" s="24"/>
      <c r="AW36" s="24"/>
      <c r="AX36" s="3"/>
      <c r="AY36" s="3"/>
      <c r="AZ36" s="3"/>
      <c r="BA36" s="3"/>
      <c r="BB36" s="3"/>
      <c r="BC36" s="24"/>
      <c r="BD36" s="24"/>
      <c r="BE36" s="24"/>
      <c r="BF36" s="3"/>
      <c r="BG36" s="3"/>
      <c r="BH36" s="3"/>
      <c r="BI36" s="3"/>
      <c r="BJ36" s="3"/>
      <c r="BK36" s="3"/>
      <c r="BR36" s="3"/>
    </row>
    <row r="37" spans="2:70" customFormat="1" x14ac:dyDescent="0.3">
      <c r="B37" s="6"/>
      <c r="C37" s="6"/>
      <c r="D37" s="6"/>
      <c r="E37" s="3"/>
      <c r="F37" s="23"/>
      <c r="G37" s="3"/>
      <c r="H37" s="3"/>
      <c r="M37" s="11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7"/>
      <c r="AE37" s="7"/>
      <c r="AF37" s="7"/>
      <c r="AG37" s="7"/>
      <c r="AH37" s="3"/>
      <c r="AI37" s="3"/>
      <c r="AJ37" s="3"/>
      <c r="AK37" s="3"/>
      <c r="AL37" s="7"/>
      <c r="AM37" s="22"/>
      <c r="AN37" s="22"/>
      <c r="AO37" s="22"/>
      <c r="AP37" s="3"/>
      <c r="AQ37" s="3"/>
      <c r="AR37" s="3"/>
      <c r="AS37" s="3"/>
      <c r="AT37" s="7"/>
      <c r="AU37" s="24"/>
      <c r="AV37" s="24"/>
      <c r="AW37" s="24"/>
      <c r="AX37" s="3"/>
      <c r="AY37" s="3"/>
      <c r="AZ37" s="3"/>
      <c r="BA37" s="3"/>
      <c r="BB37" s="3"/>
      <c r="BC37" s="24"/>
      <c r="BD37" s="24"/>
      <c r="BE37" s="24"/>
      <c r="BF37" s="3"/>
      <c r="BG37" s="3"/>
      <c r="BH37" s="3"/>
      <c r="BI37" s="3"/>
      <c r="BJ37" s="3"/>
      <c r="BK37" s="3"/>
      <c r="BR37" s="3"/>
    </row>
    <row r="38" spans="2:70" customFormat="1" x14ac:dyDescent="0.3">
      <c r="B38" s="6"/>
      <c r="C38" s="6"/>
      <c r="D38" s="6"/>
      <c r="E38" s="3"/>
      <c r="F38" s="23"/>
      <c r="G38" s="3"/>
      <c r="H38" s="3"/>
      <c r="M38" s="11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7"/>
      <c r="AE38" s="7"/>
      <c r="AF38" s="7"/>
      <c r="AG38" s="7"/>
      <c r="AH38" s="3"/>
      <c r="AI38" s="3"/>
      <c r="AJ38" s="3"/>
      <c r="AK38" s="3"/>
      <c r="AL38" s="7"/>
      <c r="AM38" s="22"/>
      <c r="AN38" s="22"/>
      <c r="AO38" s="22"/>
      <c r="AP38" s="3"/>
      <c r="AQ38" s="3"/>
      <c r="AR38" s="3"/>
      <c r="AS38" s="3"/>
      <c r="AT38" s="7"/>
      <c r="AU38" s="24"/>
      <c r="AV38" s="24"/>
      <c r="AW38" s="24"/>
      <c r="AX38" s="3"/>
      <c r="AY38" s="3"/>
      <c r="AZ38" s="3"/>
      <c r="BA38" s="3"/>
      <c r="BB38" s="3"/>
      <c r="BC38" s="24"/>
      <c r="BD38" s="24"/>
      <c r="BE38" s="24"/>
      <c r="BF38" s="3"/>
      <c r="BG38" s="3"/>
      <c r="BH38" s="3"/>
      <c r="BI38" s="3"/>
      <c r="BJ38" s="3"/>
      <c r="BK38" s="3"/>
      <c r="BR38" s="3"/>
    </row>
    <row r="39" spans="2:70" customFormat="1" x14ac:dyDescent="0.3">
      <c r="B39" s="6"/>
      <c r="C39" s="6"/>
      <c r="D39" s="6"/>
      <c r="E39" s="3"/>
      <c r="F39" s="23"/>
      <c r="G39" s="3"/>
      <c r="H39" s="3"/>
      <c r="M39" s="11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7"/>
      <c r="AE39" s="7"/>
      <c r="AF39" s="7"/>
      <c r="AG39" s="7"/>
      <c r="AH39" s="3"/>
      <c r="AI39" s="3"/>
      <c r="AJ39" s="3"/>
      <c r="AK39" s="3"/>
      <c r="AL39" s="7"/>
      <c r="AM39" s="22"/>
      <c r="AN39" s="22"/>
      <c r="AO39" s="22"/>
      <c r="AP39" s="3"/>
      <c r="AQ39" s="3"/>
      <c r="AR39" s="3"/>
      <c r="AS39" s="3"/>
      <c r="AT39" s="7"/>
      <c r="AU39" s="24"/>
      <c r="AV39" s="24"/>
      <c r="AW39" s="24"/>
      <c r="AX39" s="3"/>
      <c r="AY39" s="3"/>
      <c r="AZ39" s="3"/>
      <c r="BA39" s="3"/>
      <c r="BB39" s="3"/>
      <c r="BC39" s="24"/>
      <c r="BD39" s="24"/>
      <c r="BE39" s="24"/>
      <c r="BF39" s="3"/>
      <c r="BG39" s="3"/>
      <c r="BH39" s="3"/>
      <c r="BI39" s="3"/>
      <c r="BJ39" s="3"/>
      <c r="BK39" s="3"/>
      <c r="BR39" s="3"/>
    </row>
    <row r="40" spans="2:70" customFormat="1" x14ac:dyDescent="0.3">
      <c r="B40" s="6"/>
      <c r="C40" s="6"/>
      <c r="D40" s="6"/>
      <c r="E40" s="3"/>
      <c r="F40" s="23"/>
      <c r="G40" s="3"/>
      <c r="H40" s="3"/>
      <c r="M40" s="11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7"/>
      <c r="AE40" s="7"/>
      <c r="AF40" s="7"/>
      <c r="AG40" s="7"/>
      <c r="AH40" s="3"/>
      <c r="AI40" s="3"/>
      <c r="AJ40" s="3"/>
      <c r="AK40" s="3"/>
      <c r="AL40" s="7"/>
      <c r="AM40" s="22"/>
      <c r="AN40" s="22"/>
      <c r="AO40" s="22"/>
      <c r="AP40" s="3"/>
      <c r="AQ40" s="3"/>
      <c r="AR40" s="3"/>
      <c r="AS40" s="3"/>
      <c r="AT40" s="7"/>
      <c r="AU40" s="24"/>
      <c r="AV40" s="24"/>
      <c r="AW40" s="24"/>
      <c r="AX40" s="3"/>
      <c r="AY40" s="3"/>
      <c r="AZ40" s="3"/>
      <c r="BA40" s="3"/>
      <c r="BB40" s="3"/>
      <c r="BC40" s="24"/>
      <c r="BD40" s="24"/>
      <c r="BE40" s="24"/>
      <c r="BF40" s="3"/>
      <c r="BG40" s="3"/>
      <c r="BH40" s="3"/>
      <c r="BI40" s="3"/>
      <c r="BJ40" s="3"/>
      <c r="BK40" s="3"/>
      <c r="BR40" s="3"/>
    </row>
    <row r="41" spans="2:70" customFormat="1" x14ac:dyDescent="0.3">
      <c r="B41" s="6"/>
      <c r="C41" s="6"/>
      <c r="D41" s="6"/>
      <c r="E41" s="3"/>
      <c r="F41" s="23"/>
      <c r="G41" s="3"/>
      <c r="H41" s="3"/>
      <c r="M41" s="11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7"/>
      <c r="AE41" s="7"/>
      <c r="AF41" s="7"/>
      <c r="AG41" s="7"/>
      <c r="AH41" s="3"/>
      <c r="AI41" s="3"/>
      <c r="AJ41" s="3"/>
      <c r="AK41" s="3"/>
      <c r="AL41" s="7"/>
      <c r="AM41" s="22"/>
      <c r="AN41" s="22"/>
      <c r="AO41" s="22"/>
      <c r="AP41" s="3"/>
      <c r="AQ41" s="3"/>
      <c r="AR41" s="3"/>
      <c r="AS41" s="3"/>
      <c r="AT41" s="7"/>
      <c r="AU41" s="24"/>
      <c r="AV41" s="24"/>
      <c r="AW41" s="24"/>
      <c r="AX41" s="3"/>
      <c r="AY41" s="3"/>
      <c r="AZ41" s="3"/>
      <c r="BA41" s="3"/>
      <c r="BB41" s="3"/>
      <c r="BC41" s="24"/>
      <c r="BD41" s="24"/>
      <c r="BE41" s="24"/>
      <c r="BF41" s="3"/>
      <c r="BG41" s="3"/>
      <c r="BH41" s="3"/>
      <c r="BI41" s="3"/>
      <c r="BJ41" s="3"/>
      <c r="BK41" s="3"/>
      <c r="BR41" s="3"/>
    </row>
    <row r="42" spans="2:70" customFormat="1" x14ac:dyDescent="0.3">
      <c r="B42" s="6"/>
      <c r="C42" s="6"/>
      <c r="D42" s="6"/>
      <c r="E42" s="3"/>
      <c r="F42" s="23"/>
      <c r="G42" s="3"/>
      <c r="H42" s="3"/>
      <c r="M42" s="11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7"/>
      <c r="AE42" s="7"/>
      <c r="AF42" s="7"/>
      <c r="AG42" s="7"/>
      <c r="AH42" s="3"/>
      <c r="AI42" s="3"/>
      <c r="AJ42" s="3"/>
      <c r="AK42" s="3"/>
      <c r="AL42" s="7"/>
      <c r="AM42" s="22"/>
      <c r="AN42" s="22"/>
      <c r="AO42" s="22"/>
      <c r="AP42" s="3"/>
      <c r="AQ42" s="3"/>
      <c r="AR42" s="3"/>
      <c r="AS42" s="3"/>
      <c r="AT42" s="7"/>
      <c r="AU42" s="24"/>
      <c r="AV42" s="24"/>
      <c r="AW42" s="24"/>
      <c r="AX42" s="3"/>
      <c r="AY42" s="3"/>
      <c r="AZ42" s="3"/>
      <c r="BA42" s="3"/>
      <c r="BB42" s="3"/>
      <c r="BC42" s="24"/>
      <c r="BD42" s="24"/>
      <c r="BE42" s="24"/>
      <c r="BF42" s="3"/>
      <c r="BG42" s="3"/>
      <c r="BH42" s="3"/>
      <c r="BI42" s="3"/>
      <c r="BJ42" s="3"/>
      <c r="BK42" s="3"/>
      <c r="BR42" s="3"/>
    </row>
    <row r="43" spans="2:70" customFormat="1" x14ac:dyDescent="0.3">
      <c r="B43" s="6"/>
      <c r="C43" s="6"/>
      <c r="D43" s="6"/>
      <c r="E43" s="3"/>
      <c r="F43" s="23"/>
      <c r="G43" s="3"/>
      <c r="H43" s="3"/>
      <c r="M43" s="11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7"/>
      <c r="AE43" s="7"/>
      <c r="AF43" s="7"/>
      <c r="AG43" s="7"/>
      <c r="AH43" s="3"/>
      <c r="AI43" s="3"/>
      <c r="AJ43" s="3"/>
      <c r="AK43" s="3"/>
      <c r="AL43" s="7"/>
      <c r="AM43" s="22"/>
      <c r="AN43" s="22"/>
      <c r="AO43" s="22"/>
      <c r="AP43" s="3"/>
      <c r="AQ43" s="3"/>
      <c r="AR43" s="3"/>
      <c r="AS43" s="3"/>
      <c r="AT43" s="7"/>
      <c r="AU43" s="24"/>
      <c r="AV43" s="24"/>
      <c r="AW43" s="24"/>
      <c r="AX43" s="3"/>
      <c r="AY43" s="3"/>
      <c r="AZ43" s="3"/>
      <c r="BA43" s="3"/>
      <c r="BB43" s="3"/>
      <c r="BC43" s="24"/>
      <c r="BD43" s="24"/>
      <c r="BE43" s="24"/>
      <c r="BF43" s="3"/>
      <c r="BG43" s="3"/>
      <c r="BH43" s="3"/>
      <c r="BI43" s="3"/>
      <c r="BJ43" s="3"/>
      <c r="BK43" s="3"/>
      <c r="BR43" s="3"/>
    </row>
    <row r="44" spans="2:70" customFormat="1" x14ac:dyDescent="0.3">
      <c r="B44" s="6"/>
      <c r="C44" s="6"/>
      <c r="D44" s="6"/>
      <c r="E44" s="3"/>
      <c r="F44" s="23"/>
      <c r="G44" s="3"/>
      <c r="H44" s="3"/>
      <c r="M44" s="11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7"/>
      <c r="AE44" s="7"/>
      <c r="AF44" s="7"/>
      <c r="AG44" s="7"/>
      <c r="AH44" s="3"/>
      <c r="AI44" s="3"/>
      <c r="AJ44" s="3"/>
      <c r="AK44" s="3"/>
      <c r="AL44" s="7"/>
      <c r="AM44" s="22"/>
      <c r="AN44" s="22"/>
      <c r="AO44" s="22"/>
      <c r="AP44" s="3"/>
      <c r="AQ44" s="3"/>
      <c r="AR44" s="3"/>
      <c r="AS44" s="3"/>
      <c r="AT44" s="7"/>
      <c r="AU44" s="24"/>
      <c r="AV44" s="24"/>
      <c r="AW44" s="24"/>
      <c r="AX44" s="3"/>
      <c r="AY44" s="3"/>
      <c r="AZ44" s="3"/>
      <c r="BA44" s="3"/>
      <c r="BB44" s="3"/>
      <c r="BC44" s="24"/>
      <c r="BD44" s="24"/>
      <c r="BE44" s="24"/>
      <c r="BF44" s="3"/>
      <c r="BG44" s="3"/>
      <c r="BH44" s="3"/>
      <c r="BI44" s="3"/>
      <c r="BJ44" s="3"/>
      <c r="BK44" s="3"/>
      <c r="BR44" s="3"/>
    </row>
    <row r="45" spans="2:70" customFormat="1" x14ac:dyDescent="0.3">
      <c r="B45" s="6"/>
      <c r="C45" s="6"/>
      <c r="D45" s="6"/>
      <c r="E45" s="3"/>
      <c r="F45" s="23"/>
      <c r="G45" s="3"/>
      <c r="H45" s="3"/>
      <c r="M45" s="11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7"/>
      <c r="AE45" s="7"/>
      <c r="AF45" s="7"/>
      <c r="AG45" s="7"/>
      <c r="AH45" s="3"/>
      <c r="AI45" s="3"/>
      <c r="AJ45" s="3"/>
      <c r="AK45" s="3"/>
      <c r="AL45" s="7"/>
      <c r="AM45" s="22"/>
      <c r="AN45" s="22"/>
      <c r="AO45" s="22"/>
      <c r="AP45" s="3"/>
      <c r="AQ45" s="3"/>
      <c r="AR45" s="3"/>
      <c r="AS45" s="3"/>
      <c r="AT45" s="7"/>
      <c r="AU45" s="24"/>
      <c r="AV45" s="24"/>
      <c r="AW45" s="24"/>
      <c r="AX45" s="3"/>
      <c r="AY45" s="3"/>
      <c r="AZ45" s="3"/>
      <c r="BA45" s="3"/>
      <c r="BB45" s="3"/>
      <c r="BC45" s="24"/>
      <c r="BD45" s="24"/>
      <c r="BE45" s="24"/>
      <c r="BF45" s="3"/>
      <c r="BG45" s="3"/>
      <c r="BH45" s="3"/>
      <c r="BI45" s="3"/>
      <c r="BJ45" s="3"/>
      <c r="BK45" s="3"/>
      <c r="BR45" s="3"/>
    </row>
    <row r="46" spans="2:70" customFormat="1" x14ac:dyDescent="0.3">
      <c r="B46" s="6"/>
      <c r="C46" s="6"/>
      <c r="D46" s="6"/>
      <c r="E46" s="3"/>
      <c r="F46" s="23"/>
      <c r="G46" s="3"/>
      <c r="H46" s="3"/>
      <c r="M46" s="11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7"/>
      <c r="AE46" s="7"/>
      <c r="AF46" s="7"/>
      <c r="AG46" s="7"/>
      <c r="AH46" s="3"/>
      <c r="AI46" s="3"/>
      <c r="AJ46" s="3"/>
      <c r="AK46" s="3"/>
      <c r="AL46" s="7"/>
      <c r="AM46" s="22"/>
      <c r="AN46" s="22"/>
      <c r="AO46" s="22"/>
      <c r="AP46" s="3"/>
      <c r="AQ46" s="3"/>
      <c r="AR46" s="3"/>
      <c r="AS46" s="3"/>
      <c r="AT46" s="7"/>
      <c r="AU46" s="24"/>
      <c r="AV46" s="24"/>
      <c r="AW46" s="24"/>
      <c r="AX46" s="3"/>
      <c r="AY46" s="3"/>
      <c r="AZ46" s="3"/>
      <c r="BA46" s="3"/>
      <c r="BB46" s="3"/>
      <c r="BC46" s="24"/>
      <c r="BD46" s="24"/>
      <c r="BE46" s="24"/>
      <c r="BF46" s="3"/>
      <c r="BG46" s="3"/>
      <c r="BH46" s="3"/>
      <c r="BI46" s="3"/>
      <c r="BJ46" s="3"/>
      <c r="BK46" s="3"/>
      <c r="BR46" s="3"/>
    </row>
    <row r="47" spans="2:70" customFormat="1" x14ac:dyDescent="0.3">
      <c r="B47" s="6"/>
      <c r="C47" s="6"/>
      <c r="D47" s="6"/>
      <c r="E47" s="3"/>
      <c r="F47" s="23"/>
      <c r="G47" s="3"/>
      <c r="H47" s="3"/>
      <c r="M47" s="11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7"/>
      <c r="AE47" s="7"/>
      <c r="AF47" s="7"/>
      <c r="AG47" s="7"/>
      <c r="AH47" s="3"/>
      <c r="AI47" s="3"/>
      <c r="AJ47" s="3"/>
      <c r="AK47" s="3"/>
      <c r="AL47" s="7"/>
      <c r="AM47" s="22"/>
      <c r="AN47" s="22"/>
      <c r="AO47" s="22"/>
      <c r="AP47" s="3"/>
      <c r="AQ47" s="3"/>
      <c r="AR47" s="3"/>
      <c r="AS47" s="3"/>
      <c r="AT47" s="7"/>
      <c r="AU47" s="24"/>
      <c r="AV47" s="24"/>
      <c r="AW47" s="24"/>
      <c r="AX47" s="3"/>
      <c r="AY47" s="3"/>
      <c r="AZ47" s="3"/>
      <c r="BA47" s="3"/>
      <c r="BB47" s="3"/>
      <c r="BC47" s="24"/>
      <c r="BD47" s="24"/>
      <c r="BE47" s="24"/>
      <c r="BF47" s="3"/>
      <c r="BG47" s="3"/>
      <c r="BH47" s="3"/>
      <c r="BI47" s="3"/>
      <c r="BJ47" s="3"/>
      <c r="BK47" s="3"/>
      <c r="BR47" s="3"/>
    </row>
    <row r="48" spans="2:70" customFormat="1" x14ac:dyDescent="0.3">
      <c r="B48" s="6"/>
      <c r="C48" s="6"/>
      <c r="D48" s="6"/>
      <c r="E48" s="3"/>
      <c r="F48" s="23"/>
      <c r="G48" s="3"/>
      <c r="H48" s="3"/>
      <c r="M48" s="11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7"/>
      <c r="AE48" s="7"/>
      <c r="AF48" s="7"/>
      <c r="AG48" s="7"/>
      <c r="AH48" s="3"/>
      <c r="AI48" s="3"/>
      <c r="AJ48" s="3"/>
      <c r="AK48" s="3"/>
      <c r="AL48" s="7"/>
      <c r="AM48" s="22"/>
      <c r="AN48" s="22"/>
      <c r="AO48" s="22"/>
      <c r="AP48" s="3"/>
      <c r="AQ48" s="3"/>
      <c r="AR48" s="3"/>
      <c r="AS48" s="3"/>
      <c r="AT48" s="7"/>
      <c r="AU48" s="24"/>
      <c r="AV48" s="24"/>
      <c r="AW48" s="24"/>
      <c r="AX48" s="3"/>
      <c r="AY48" s="3"/>
      <c r="AZ48" s="3"/>
      <c r="BA48" s="3"/>
      <c r="BB48" s="3"/>
      <c r="BC48" s="24"/>
      <c r="BD48" s="24"/>
      <c r="BE48" s="24"/>
      <c r="BF48" s="3"/>
      <c r="BG48" s="3"/>
      <c r="BH48" s="3"/>
      <c r="BI48" s="3"/>
      <c r="BJ48" s="3"/>
      <c r="BK48" s="3"/>
      <c r="BR48" s="3"/>
    </row>
    <row r="49" spans="2:70" customFormat="1" x14ac:dyDescent="0.3">
      <c r="B49" s="6"/>
      <c r="C49" s="6"/>
      <c r="D49" s="6"/>
      <c r="E49" s="3"/>
      <c r="F49" s="23"/>
      <c r="G49" s="3"/>
      <c r="H49" s="3"/>
      <c r="M49" s="11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7"/>
      <c r="AE49" s="7"/>
      <c r="AF49" s="7"/>
      <c r="AG49" s="7"/>
      <c r="AH49" s="3"/>
      <c r="AI49" s="3"/>
      <c r="AJ49" s="3"/>
      <c r="AK49" s="3"/>
      <c r="AL49" s="7"/>
      <c r="AM49" s="22"/>
      <c r="AN49" s="22"/>
      <c r="AO49" s="22"/>
      <c r="AP49" s="3"/>
      <c r="AQ49" s="3"/>
      <c r="AR49" s="3"/>
      <c r="AS49" s="3"/>
      <c r="AT49" s="7"/>
      <c r="AU49" s="24"/>
      <c r="AV49" s="24"/>
      <c r="AW49" s="24"/>
      <c r="AX49" s="3"/>
      <c r="AY49" s="3"/>
      <c r="AZ49" s="3"/>
      <c r="BA49" s="3"/>
      <c r="BB49" s="3"/>
      <c r="BC49" s="24"/>
      <c r="BD49" s="24"/>
      <c r="BE49" s="24"/>
      <c r="BF49" s="3"/>
      <c r="BG49" s="3"/>
      <c r="BH49" s="3"/>
      <c r="BI49" s="3"/>
      <c r="BJ49" s="3"/>
      <c r="BK49" s="3"/>
      <c r="BR49" s="3"/>
    </row>
    <row r="50" spans="2:70" customFormat="1" x14ac:dyDescent="0.3">
      <c r="B50" s="6"/>
      <c r="C50" s="6"/>
      <c r="D50" s="6"/>
      <c r="E50" s="3"/>
      <c r="F50" s="23"/>
      <c r="G50" s="3"/>
      <c r="H50" s="3"/>
      <c r="M50" s="11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7"/>
      <c r="AE50" s="7"/>
      <c r="AF50" s="7"/>
      <c r="AG50" s="7"/>
      <c r="AH50" s="3"/>
      <c r="AI50" s="3"/>
      <c r="AJ50" s="3"/>
      <c r="AK50" s="3"/>
      <c r="AL50" s="7"/>
      <c r="AM50" s="22"/>
      <c r="AN50" s="22"/>
      <c r="AO50" s="22"/>
      <c r="AP50" s="3"/>
      <c r="AQ50" s="3"/>
      <c r="AR50" s="3"/>
      <c r="AS50" s="3"/>
      <c r="AT50" s="7"/>
      <c r="AU50" s="24"/>
      <c r="AV50" s="24"/>
      <c r="AW50" s="24"/>
      <c r="AX50" s="3"/>
      <c r="AY50" s="3"/>
      <c r="AZ50" s="3"/>
      <c r="BA50" s="3"/>
      <c r="BB50" s="3"/>
      <c r="BC50" s="24"/>
      <c r="BD50" s="24"/>
      <c r="BE50" s="24"/>
      <c r="BF50" s="3"/>
      <c r="BG50" s="3"/>
      <c r="BH50" s="3"/>
      <c r="BI50" s="3"/>
      <c r="BJ50" s="3"/>
      <c r="BK50" s="3"/>
      <c r="BR50" s="3"/>
    </row>
    <row r="51" spans="2:70" customFormat="1" x14ac:dyDescent="0.3">
      <c r="B51" s="6"/>
      <c r="C51" s="6"/>
      <c r="D51" s="6"/>
      <c r="E51" s="3"/>
      <c r="F51" s="23"/>
      <c r="G51" s="3"/>
      <c r="H51" s="3"/>
      <c r="M51" s="11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7"/>
      <c r="AE51" s="7"/>
      <c r="AF51" s="7"/>
      <c r="AG51" s="7"/>
      <c r="AH51" s="3"/>
      <c r="AI51" s="3"/>
      <c r="AJ51" s="3"/>
      <c r="AK51" s="3"/>
      <c r="AL51" s="7"/>
      <c r="AM51" s="22"/>
      <c r="AN51" s="22"/>
      <c r="AO51" s="22"/>
      <c r="AP51" s="3"/>
      <c r="AQ51" s="3"/>
      <c r="AR51" s="3"/>
      <c r="AS51" s="3"/>
      <c r="AT51" s="7"/>
      <c r="AU51" s="24"/>
      <c r="AV51" s="24"/>
      <c r="AW51" s="24"/>
      <c r="AX51" s="3"/>
      <c r="AY51" s="3"/>
      <c r="AZ51" s="3"/>
      <c r="BA51" s="3"/>
      <c r="BB51" s="3"/>
      <c r="BC51" s="24"/>
      <c r="BD51" s="24"/>
      <c r="BE51" s="24"/>
      <c r="BF51" s="3"/>
      <c r="BG51" s="3"/>
      <c r="BH51" s="3"/>
      <c r="BI51" s="3"/>
      <c r="BJ51" s="3"/>
      <c r="BK51" s="3"/>
      <c r="BR51" s="3"/>
    </row>
    <row r="52" spans="2:70" customFormat="1" x14ac:dyDescent="0.3">
      <c r="B52" s="6"/>
      <c r="C52" s="6"/>
      <c r="D52" s="6"/>
      <c r="E52" s="3"/>
      <c r="F52" s="23"/>
      <c r="G52" s="3"/>
      <c r="H52" s="3"/>
      <c r="M52" s="11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7"/>
      <c r="AE52" s="7"/>
      <c r="AF52" s="7"/>
      <c r="AG52" s="7"/>
      <c r="AH52" s="3"/>
      <c r="AI52" s="3"/>
      <c r="AJ52" s="3"/>
      <c r="AK52" s="3"/>
      <c r="AL52" s="7"/>
      <c r="AM52" s="22"/>
      <c r="AN52" s="22"/>
      <c r="AO52" s="22"/>
      <c r="AP52" s="3"/>
      <c r="AQ52" s="3"/>
      <c r="AR52" s="3"/>
      <c r="AS52" s="3"/>
      <c r="AT52" s="7"/>
      <c r="AU52" s="24"/>
      <c r="AV52" s="24"/>
      <c r="AW52" s="24"/>
      <c r="AX52" s="3"/>
      <c r="AY52" s="3"/>
      <c r="AZ52" s="3"/>
      <c r="BA52" s="3"/>
      <c r="BB52" s="3"/>
      <c r="BC52" s="24"/>
      <c r="BD52" s="24"/>
      <c r="BE52" s="24"/>
      <c r="BF52" s="3"/>
      <c r="BG52" s="3"/>
      <c r="BH52" s="3"/>
      <c r="BI52" s="3"/>
      <c r="BJ52" s="3"/>
      <c r="BK52" s="3"/>
      <c r="BR52" s="3"/>
    </row>
    <row r="53" spans="2:70" customFormat="1" x14ac:dyDescent="0.3">
      <c r="B53" s="6"/>
      <c r="C53" s="6"/>
      <c r="D53" s="6"/>
      <c r="E53" s="3"/>
      <c r="F53" s="23"/>
      <c r="G53" s="3"/>
      <c r="H53" s="3"/>
      <c r="M53" s="11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7"/>
      <c r="AE53" s="7"/>
      <c r="AF53" s="7"/>
      <c r="AG53" s="7"/>
      <c r="AH53" s="3"/>
      <c r="AI53" s="3"/>
      <c r="AJ53" s="3"/>
      <c r="AK53" s="3"/>
      <c r="AL53" s="7"/>
      <c r="AM53" s="22"/>
      <c r="AN53" s="22"/>
      <c r="AO53" s="22"/>
      <c r="AP53" s="3"/>
      <c r="AQ53" s="3"/>
      <c r="AR53" s="3"/>
      <c r="AS53" s="3"/>
      <c r="AT53" s="7"/>
      <c r="AU53" s="24"/>
      <c r="AV53" s="24"/>
      <c r="AW53" s="24"/>
      <c r="AX53" s="3"/>
      <c r="AY53" s="3"/>
      <c r="AZ53" s="3"/>
      <c r="BA53" s="3"/>
      <c r="BB53" s="3"/>
      <c r="BC53" s="24"/>
      <c r="BD53" s="24"/>
      <c r="BE53" s="24"/>
      <c r="BF53" s="3"/>
      <c r="BG53" s="3"/>
      <c r="BH53" s="3"/>
      <c r="BI53" s="3"/>
      <c r="BJ53" s="3"/>
      <c r="BK53" s="3"/>
      <c r="BR53" s="3"/>
    </row>
    <row r="54" spans="2:70" customFormat="1" x14ac:dyDescent="0.3">
      <c r="B54" s="6"/>
      <c r="C54" s="6"/>
      <c r="D54" s="6"/>
      <c r="E54" s="3"/>
      <c r="F54" s="23"/>
      <c r="G54" s="3"/>
      <c r="H54" s="3"/>
      <c r="M54" s="11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7"/>
      <c r="AE54" s="7"/>
      <c r="AF54" s="7"/>
      <c r="AG54" s="7"/>
      <c r="AH54" s="3"/>
      <c r="AI54" s="3"/>
      <c r="AJ54" s="3"/>
      <c r="AK54" s="3"/>
      <c r="AL54" s="7"/>
      <c r="AM54" s="22"/>
      <c r="AN54" s="22"/>
      <c r="AO54" s="22"/>
      <c r="AP54" s="3"/>
      <c r="AQ54" s="3"/>
      <c r="AR54" s="3"/>
      <c r="AS54" s="3"/>
      <c r="AT54" s="7"/>
      <c r="AU54" s="24"/>
      <c r="AV54" s="24"/>
      <c r="AW54" s="24"/>
      <c r="AX54" s="3"/>
      <c r="AY54" s="3"/>
      <c r="AZ54" s="3"/>
      <c r="BA54" s="3"/>
      <c r="BB54" s="3"/>
      <c r="BC54" s="24"/>
      <c r="BD54" s="24"/>
      <c r="BE54" s="24"/>
      <c r="BF54" s="3"/>
      <c r="BG54" s="3"/>
      <c r="BH54" s="3"/>
      <c r="BI54" s="3"/>
      <c r="BJ54" s="3"/>
      <c r="BK54" s="3"/>
      <c r="BR54" s="3"/>
    </row>
    <row r="55" spans="2:70" customFormat="1" x14ac:dyDescent="0.3">
      <c r="B55" s="6"/>
      <c r="C55" s="6"/>
      <c r="D55" s="6"/>
      <c r="E55" s="3"/>
      <c r="F55" s="23"/>
      <c r="G55" s="3"/>
      <c r="H55" s="3"/>
      <c r="M55" s="11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7"/>
      <c r="AE55" s="7"/>
      <c r="AF55" s="7"/>
      <c r="AG55" s="7"/>
      <c r="AH55" s="3"/>
      <c r="AI55" s="3"/>
      <c r="AJ55" s="3"/>
      <c r="AK55" s="3"/>
      <c r="AL55" s="7"/>
      <c r="AM55" s="22"/>
      <c r="AN55" s="22"/>
      <c r="AO55" s="22"/>
      <c r="AP55" s="3"/>
      <c r="AQ55" s="3"/>
      <c r="AR55" s="3"/>
      <c r="AS55" s="3"/>
      <c r="AT55" s="7"/>
      <c r="AU55" s="24"/>
      <c r="AV55" s="24"/>
      <c r="AW55" s="24"/>
      <c r="AX55" s="3"/>
      <c r="AY55" s="3"/>
      <c r="AZ55" s="3"/>
      <c r="BA55" s="3"/>
      <c r="BB55" s="3"/>
      <c r="BC55" s="24"/>
      <c r="BD55" s="24"/>
      <c r="BE55" s="24"/>
      <c r="BF55" s="3"/>
      <c r="BG55" s="3"/>
      <c r="BH55" s="3"/>
      <c r="BI55" s="3"/>
      <c r="BJ55" s="3"/>
      <c r="BK55" s="3"/>
      <c r="BR55" s="3"/>
    </row>
    <row r="56" spans="2:70" customFormat="1" x14ac:dyDescent="0.3">
      <c r="B56" s="6"/>
      <c r="C56" s="6"/>
      <c r="D56" s="6"/>
      <c r="E56" s="3"/>
      <c r="F56" s="23"/>
      <c r="G56" s="3"/>
      <c r="H56" s="3"/>
      <c r="M56" s="11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7"/>
      <c r="AE56" s="7"/>
      <c r="AF56" s="7"/>
      <c r="AG56" s="7"/>
      <c r="AH56" s="3"/>
      <c r="AI56" s="3"/>
      <c r="AJ56" s="3"/>
      <c r="AK56" s="3"/>
      <c r="AL56" s="7"/>
      <c r="AM56" s="22"/>
      <c r="AN56" s="22"/>
      <c r="AO56" s="22"/>
      <c r="AP56" s="3"/>
      <c r="AQ56" s="3"/>
      <c r="AR56" s="3"/>
      <c r="AS56" s="3"/>
      <c r="AT56" s="7"/>
      <c r="AU56" s="24"/>
      <c r="AV56" s="24"/>
      <c r="AW56" s="24"/>
      <c r="AX56" s="3"/>
      <c r="AY56" s="3"/>
      <c r="AZ56" s="3"/>
      <c r="BA56" s="3"/>
      <c r="BB56" s="3"/>
      <c r="BC56" s="24"/>
      <c r="BD56" s="24"/>
      <c r="BE56" s="24"/>
      <c r="BF56" s="3"/>
      <c r="BG56" s="3"/>
      <c r="BH56" s="3"/>
      <c r="BI56" s="3"/>
      <c r="BJ56" s="3"/>
      <c r="BK56" s="3"/>
      <c r="BR56" s="3"/>
    </row>
    <row r="57" spans="2:70" customFormat="1" x14ac:dyDescent="0.3">
      <c r="B57" s="6"/>
      <c r="C57" s="6"/>
      <c r="D57" s="6"/>
      <c r="E57" s="3"/>
      <c r="F57" s="23"/>
      <c r="G57" s="3"/>
      <c r="H57" s="3"/>
      <c r="M57" s="11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7"/>
      <c r="AE57" s="7"/>
      <c r="AF57" s="7"/>
      <c r="AG57" s="7"/>
      <c r="AH57" s="3"/>
      <c r="AI57" s="3"/>
      <c r="AJ57" s="3"/>
      <c r="AK57" s="3"/>
      <c r="AL57" s="7"/>
      <c r="AM57" s="22"/>
      <c r="AN57" s="22"/>
      <c r="AO57" s="22"/>
      <c r="AP57" s="3"/>
      <c r="AQ57" s="3"/>
      <c r="AR57" s="3"/>
      <c r="AS57" s="3"/>
      <c r="AT57" s="7"/>
      <c r="AU57" s="24"/>
      <c r="AV57" s="24"/>
      <c r="AW57" s="24"/>
      <c r="AX57" s="3"/>
      <c r="AY57" s="3"/>
      <c r="AZ57" s="3"/>
      <c r="BA57" s="3"/>
      <c r="BB57" s="3"/>
      <c r="BC57" s="24"/>
      <c r="BD57" s="24"/>
      <c r="BE57" s="24"/>
      <c r="BF57" s="3"/>
      <c r="BG57" s="3"/>
      <c r="BH57" s="3"/>
      <c r="BI57" s="3"/>
      <c r="BJ57" s="3"/>
      <c r="BK57" s="3"/>
      <c r="BR57" s="3"/>
    </row>
    <row r="58" spans="2:70" customFormat="1" x14ac:dyDescent="0.3">
      <c r="B58" s="6"/>
      <c r="C58" s="6"/>
      <c r="D58" s="6"/>
      <c r="E58" s="3"/>
      <c r="F58" s="23"/>
      <c r="G58" s="3"/>
      <c r="H58" s="3"/>
      <c r="M58" s="11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7"/>
      <c r="AE58" s="7"/>
      <c r="AF58" s="7"/>
      <c r="AG58" s="7"/>
      <c r="AH58" s="3"/>
      <c r="AI58" s="3"/>
      <c r="AJ58" s="3"/>
      <c r="AK58" s="3"/>
      <c r="AL58" s="7"/>
      <c r="AM58" s="22"/>
      <c r="AN58" s="22"/>
      <c r="AO58" s="22"/>
      <c r="AP58" s="3"/>
      <c r="AQ58" s="3"/>
      <c r="AR58" s="3"/>
      <c r="AS58" s="3"/>
      <c r="AT58" s="7"/>
      <c r="AU58" s="24"/>
      <c r="AV58" s="24"/>
      <c r="AW58" s="24"/>
      <c r="AX58" s="3"/>
      <c r="AY58" s="3"/>
      <c r="AZ58" s="3"/>
      <c r="BA58" s="3"/>
      <c r="BB58" s="3"/>
      <c r="BC58" s="24"/>
      <c r="BD58" s="24"/>
      <c r="BE58" s="24"/>
      <c r="BF58" s="3"/>
      <c r="BG58" s="3"/>
      <c r="BH58" s="3"/>
      <c r="BI58" s="3"/>
      <c r="BJ58" s="3"/>
      <c r="BK58" s="3"/>
      <c r="BR58" s="3"/>
    </row>
    <row r="59" spans="2:70" customFormat="1" x14ac:dyDescent="0.3">
      <c r="B59" s="6"/>
      <c r="C59" s="6"/>
      <c r="D59" s="6"/>
      <c r="E59" s="3"/>
      <c r="F59" s="23"/>
      <c r="G59" s="3"/>
      <c r="H59" s="3"/>
      <c r="M59" s="11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7"/>
      <c r="AE59" s="7"/>
      <c r="AF59" s="7"/>
      <c r="AG59" s="7"/>
      <c r="AH59" s="3"/>
      <c r="AI59" s="3"/>
      <c r="AJ59" s="3"/>
      <c r="AK59" s="3"/>
      <c r="AL59" s="7"/>
      <c r="AM59" s="22"/>
      <c r="AN59" s="22"/>
      <c r="AO59" s="22"/>
      <c r="AP59" s="3"/>
      <c r="AQ59" s="3"/>
      <c r="AR59" s="3"/>
      <c r="AS59" s="3"/>
      <c r="AT59" s="7"/>
      <c r="AU59" s="24"/>
      <c r="AV59" s="24"/>
      <c r="AW59" s="24"/>
      <c r="AX59" s="3"/>
      <c r="AY59" s="3"/>
      <c r="AZ59" s="3"/>
      <c r="BA59" s="3"/>
      <c r="BB59" s="3"/>
      <c r="BC59" s="24"/>
      <c r="BD59" s="24"/>
      <c r="BE59" s="24"/>
      <c r="BF59" s="3"/>
      <c r="BG59" s="3"/>
      <c r="BH59" s="3"/>
      <c r="BI59" s="3"/>
      <c r="BJ59" s="3"/>
      <c r="BK59" s="3"/>
      <c r="BR59" s="3"/>
    </row>
    <row r="60" spans="2:70" customFormat="1" x14ac:dyDescent="0.3">
      <c r="B60" s="6"/>
      <c r="C60" s="6"/>
      <c r="D60" s="6"/>
      <c r="E60" s="3"/>
      <c r="F60" s="23"/>
      <c r="G60" s="3"/>
      <c r="H60" s="3"/>
      <c r="M60" s="11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7"/>
      <c r="AE60" s="7"/>
      <c r="AF60" s="7"/>
      <c r="AG60" s="7"/>
      <c r="AH60" s="3"/>
      <c r="AI60" s="3"/>
      <c r="AJ60" s="3"/>
      <c r="AK60" s="3"/>
      <c r="AL60" s="7"/>
      <c r="AM60" s="22"/>
      <c r="AN60" s="22"/>
      <c r="AO60" s="22"/>
      <c r="AP60" s="3"/>
      <c r="AQ60" s="3"/>
      <c r="AR60" s="3"/>
      <c r="AS60" s="3"/>
      <c r="AT60" s="7"/>
      <c r="AU60" s="24"/>
      <c r="AV60" s="24"/>
      <c r="AW60" s="24"/>
      <c r="AX60" s="3"/>
      <c r="AY60" s="3"/>
      <c r="AZ60" s="3"/>
      <c r="BA60" s="3"/>
      <c r="BB60" s="3"/>
      <c r="BC60" s="24"/>
      <c r="BD60" s="24"/>
      <c r="BE60" s="24"/>
      <c r="BF60" s="3"/>
      <c r="BG60" s="3"/>
      <c r="BH60" s="3"/>
      <c r="BI60" s="3"/>
      <c r="BJ60" s="3"/>
      <c r="BK60" s="3"/>
      <c r="BR60" s="3"/>
    </row>
    <row r="61" spans="2:70" customFormat="1" x14ac:dyDescent="0.3">
      <c r="B61" s="6"/>
      <c r="C61" s="6"/>
      <c r="D61" s="6"/>
      <c r="E61" s="3"/>
      <c r="F61" s="23"/>
      <c r="G61" s="3"/>
      <c r="H61" s="3"/>
      <c r="M61" s="11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7"/>
      <c r="AE61" s="7"/>
      <c r="AF61" s="7"/>
      <c r="AG61" s="7"/>
      <c r="AH61" s="3"/>
      <c r="AI61" s="3"/>
      <c r="AJ61" s="3"/>
      <c r="AK61" s="3"/>
      <c r="AL61" s="7"/>
      <c r="AM61" s="22"/>
      <c r="AN61" s="22"/>
      <c r="AO61" s="22"/>
      <c r="AP61" s="3"/>
      <c r="AQ61" s="3"/>
      <c r="AR61" s="3"/>
      <c r="AS61" s="3"/>
      <c r="AT61" s="7"/>
      <c r="AU61" s="24"/>
      <c r="AV61" s="24"/>
      <c r="AW61" s="24"/>
      <c r="AX61" s="3"/>
      <c r="AY61" s="3"/>
      <c r="AZ61" s="3"/>
      <c r="BA61" s="3"/>
      <c r="BB61" s="3"/>
      <c r="BC61" s="24"/>
      <c r="BD61" s="24"/>
      <c r="BE61" s="24"/>
      <c r="BF61" s="3"/>
      <c r="BG61" s="3"/>
      <c r="BH61" s="3"/>
      <c r="BI61" s="3"/>
      <c r="BJ61" s="3"/>
      <c r="BK61" s="3"/>
      <c r="BR61" s="3"/>
    </row>
    <row r="62" spans="2:70" customFormat="1" x14ac:dyDescent="0.3">
      <c r="B62" s="6"/>
      <c r="C62" s="6"/>
      <c r="D62" s="6"/>
      <c r="E62" s="3"/>
      <c r="F62" s="23"/>
      <c r="G62" s="3"/>
      <c r="H62" s="3"/>
      <c r="M62" s="11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7"/>
      <c r="AE62" s="7"/>
      <c r="AF62" s="7"/>
      <c r="AG62" s="7"/>
      <c r="AH62" s="3"/>
      <c r="AI62" s="3"/>
      <c r="AJ62" s="3"/>
      <c r="AK62" s="3"/>
      <c r="AL62" s="7"/>
      <c r="AM62" s="22"/>
      <c r="AN62" s="22"/>
      <c r="AO62" s="22"/>
      <c r="AP62" s="3"/>
      <c r="AQ62" s="3"/>
      <c r="AR62" s="3"/>
      <c r="AS62" s="3"/>
      <c r="AT62" s="7"/>
      <c r="AU62" s="24"/>
      <c r="AV62" s="24"/>
      <c r="AW62" s="24"/>
      <c r="AX62" s="3"/>
      <c r="AY62" s="3"/>
      <c r="AZ62" s="3"/>
      <c r="BA62" s="3"/>
      <c r="BB62" s="3"/>
      <c r="BC62" s="24"/>
      <c r="BD62" s="24"/>
      <c r="BE62" s="24"/>
      <c r="BF62" s="3"/>
      <c r="BG62" s="3"/>
      <c r="BH62" s="3"/>
      <c r="BI62" s="3"/>
      <c r="BJ62" s="3"/>
      <c r="BK62" s="3"/>
      <c r="BR62" s="3"/>
    </row>
    <row r="63" spans="2:70" customFormat="1" x14ac:dyDescent="0.3">
      <c r="B63" s="6"/>
      <c r="C63" s="6"/>
      <c r="D63" s="6"/>
      <c r="E63" s="3"/>
      <c r="F63" s="23"/>
      <c r="G63" s="3"/>
      <c r="H63" s="3"/>
      <c r="M63" s="11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7"/>
      <c r="AE63" s="7"/>
      <c r="AF63" s="7"/>
      <c r="AG63" s="7"/>
      <c r="AH63" s="3"/>
      <c r="AI63" s="3"/>
      <c r="AJ63" s="3"/>
      <c r="AK63" s="3"/>
      <c r="AL63" s="7"/>
      <c r="AM63" s="22"/>
      <c r="AN63" s="22"/>
      <c r="AO63" s="22"/>
      <c r="AP63" s="3"/>
      <c r="AQ63" s="3"/>
      <c r="AR63" s="3"/>
      <c r="AS63" s="3"/>
      <c r="AT63" s="7"/>
      <c r="AU63" s="24"/>
      <c r="AV63" s="24"/>
      <c r="AW63" s="24"/>
      <c r="AX63" s="3"/>
      <c r="AY63" s="3"/>
      <c r="AZ63" s="3"/>
      <c r="BA63" s="3"/>
      <c r="BB63" s="3"/>
      <c r="BC63" s="24"/>
      <c r="BD63" s="24"/>
      <c r="BE63" s="24"/>
      <c r="BF63" s="3"/>
      <c r="BG63" s="3"/>
      <c r="BH63" s="3"/>
      <c r="BI63" s="3"/>
      <c r="BJ63" s="3"/>
      <c r="BK63" s="3"/>
      <c r="BR63" s="3"/>
    </row>
    <row r="64" spans="2:70" customFormat="1" x14ac:dyDescent="0.3">
      <c r="B64" s="6"/>
      <c r="C64" s="6"/>
      <c r="D64" s="6"/>
      <c r="E64" s="3"/>
      <c r="F64" s="23"/>
      <c r="G64" s="3"/>
      <c r="H64" s="3"/>
      <c r="M64" s="11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7"/>
      <c r="AE64" s="7"/>
      <c r="AF64" s="7"/>
      <c r="AG64" s="7"/>
      <c r="AH64" s="3"/>
      <c r="AI64" s="3"/>
      <c r="AJ64" s="3"/>
      <c r="AK64" s="3"/>
      <c r="AL64" s="7"/>
      <c r="AM64" s="22"/>
      <c r="AN64" s="22"/>
      <c r="AO64" s="22"/>
      <c r="AP64" s="3"/>
      <c r="AQ64" s="3"/>
      <c r="AR64" s="3"/>
      <c r="AS64" s="3"/>
      <c r="AT64" s="7"/>
      <c r="AU64" s="24"/>
      <c r="AV64" s="24"/>
      <c r="AW64" s="24"/>
      <c r="AX64" s="3"/>
      <c r="AY64" s="3"/>
      <c r="AZ64" s="3"/>
      <c r="BA64" s="3"/>
      <c r="BB64" s="3"/>
      <c r="BC64" s="24"/>
      <c r="BD64" s="24"/>
      <c r="BE64" s="24"/>
      <c r="BF64" s="3"/>
      <c r="BG64" s="3"/>
      <c r="BH64" s="3"/>
      <c r="BI64" s="3"/>
      <c r="BJ64" s="3"/>
      <c r="BK64" s="3"/>
      <c r="BR64" s="3"/>
    </row>
    <row r="65" spans="2:70" customFormat="1" x14ac:dyDescent="0.3">
      <c r="B65" s="6"/>
      <c r="C65" s="6"/>
      <c r="D65" s="6"/>
      <c r="E65" s="3"/>
      <c r="F65" s="23"/>
      <c r="G65" s="3"/>
      <c r="H65" s="3"/>
      <c r="M65" s="11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7"/>
      <c r="AE65" s="7"/>
      <c r="AF65" s="7"/>
      <c r="AG65" s="7"/>
      <c r="AH65" s="3"/>
      <c r="AI65" s="3"/>
      <c r="AJ65" s="3"/>
      <c r="AK65" s="3"/>
      <c r="AL65" s="7"/>
      <c r="AM65" s="22"/>
      <c r="AN65" s="22"/>
      <c r="AO65" s="22"/>
      <c r="AP65" s="3"/>
      <c r="AQ65" s="3"/>
      <c r="AR65" s="3"/>
      <c r="AS65" s="3"/>
      <c r="AT65" s="7"/>
      <c r="AU65" s="24"/>
      <c r="AV65" s="24"/>
      <c r="AW65" s="24"/>
      <c r="AX65" s="3"/>
      <c r="AY65" s="3"/>
      <c r="AZ65" s="3"/>
      <c r="BA65" s="3"/>
      <c r="BB65" s="3"/>
      <c r="BC65" s="24"/>
      <c r="BD65" s="24"/>
      <c r="BE65" s="24"/>
      <c r="BF65" s="3"/>
      <c r="BG65" s="3"/>
      <c r="BH65" s="3"/>
      <c r="BI65" s="3"/>
      <c r="BJ65" s="3"/>
      <c r="BK65" s="3"/>
      <c r="BR65" s="3"/>
    </row>
    <row r="66" spans="2:70" customFormat="1" x14ac:dyDescent="0.3">
      <c r="B66" s="6"/>
      <c r="C66" s="6"/>
      <c r="D66" s="6"/>
      <c r="E66" s="3"/>
      <c r="F66" s="23"/>
      <c r="G66" s="3"/>
      <c r="H66" s="3"/>
      <c r="M66" s="11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7"/>
      <c r="AE66" s="7"/>
      <c r="AF66" s="7"/>
      <c r="AG66" s="7"/>
      <c r="AH66" s="3"/>
      <c r="AI66" s="3"/>
      <c r="AJ66" s="3"/>
      <c r="AK66" s="3"/>
      <c r="AL66" s="7"/>
      <c r="AM66" s="22"/>
      <c r="AN66" s="22"/>
      <c r="AO66" s="22"/>
      <c r="AP66" s="3"/>
      <c r="AQ66" s="3"/>
      <c r="AR66" s="3"/>
      <c r="AS66" s="3"/>
      <c r="AT66" s="7"/>
      <c r="AU66" s="24"/>
      <c r="AV66" s="24"/>
      <c r="AW66" s="24"/>
      <c r="AX66" s="3"/>
      <c r="AY66" s="3"/>
      <c r="AZ66" s="3"/>
      <c r="BA66" s="3"/>
      <c r="BB66" s="3"/>
      <c r="BC66" s="24"/>
      <c r="BD66" s="24"/>
      <c r="BE66" s="24"/>
      <c r="BF66" s="3"/>
      <c r="BG66" s="3"/>
      <c r="BH66" s="3"/>
      <c r="BI66" s="3"/>
      <c r="BJ66" s="3"/>
      <c r="BK66" s="3"/>
      <c r="BR66" s="3"/>
    </row>
    <row r="67" spans="2:70" customFormat="1" x14ac:dyDescent="0.3">
      <c r="B67" s="6"/>
      <c r="C67" s="6"/>
      <c r="D67" s="6"/>
      <c r="E67" s="3"/>
      <c r="F67" s="23"/>
      <c r="G67" s="3"/>
      <c r="H67" s="3"/>
      <c r="M67" s="11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7"/>
      <c r="AE67" s="7"/>
      <c r="AF67" s="7"/>
      <c r="AG67" s="7"/>
      <c r="AH67" s="3"/>
      <c r="AI67" s="3"/>
      <c r="AJ67" s="3"/>
      <c r="AK67" s="3"/>
      <c r="AL67" s="7"/>
      <c r="AM67" s="22"/>
      <c r="AN67" s="22"/>
      <c r="AO67" s="22"/>
      <c r="AP67" s="3"/>
      <c r="AQ67" s="3"/>
      <c r="AR67" s="3"/>
      <c r="AS67" s="3"/>
      <c r="AT67" s="7"/>
      <c r="AU67" s="24"/>
      <c r="AV67" s="24"/>
      <c r="AW67" s="24"/>
      <c r="AX67" s="3"/>
      <c r="AY67" s="3"/>
      <c r="AZ67" s="3"/>
      <c r="BA67" s="3"/>
      <c r="BB67" s="3"/>
      <c r="BC67" s="24"/>
      <c r="BD67" s="24"/>
      <c r="BE67" s="24"/>
      <c r="BF67" s="3"/>
      <c r="BG67" s="3"/>
      <c r="BH67" s="3"/>
      <c r="BI67" s="3"/>
      <c r="BJ67" s="3"/>
      <c r="BK67" s="3"/>
      <c r="BR67" s="3"/>
    </row>
    <row r="68" spans="2:70" customFormat="1" x14ac:dyDescent="0.3">
      <c r="B68" s="6"/>
      <c r="C68" s="6"/>
      <c r="D68" s="6"/>
      <c r="E68" s="3"/>
      <c r="F68" s="23"/>
      <c r="G68" s="3"/>
      <c r="H68" s="3"/>
      <c r="M68" s="11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7"/>
      <c r="AE68" s="7"/>
      <c r="AF68" s="7"/>
      <c r="AG68" s="7"/>
      <c r="AH68" s="3"/>
      <c r="AI68" s="3"/>
      <c r="AJ68" s="3"/>
      <c r="AK68" s="3"/>
      <c r="AL68" s="7"/>
      <c r="AM68" s="22"/>
      <c r="AN68" s="22"/>
      <c r="AO68" s="22"/>
      <c r="AP68" s="3"/>
      <c r="AQ68" s="3"/>
      <c r="AR68" s="3"/>
      <c r="AS68" s="3"/>
      <c r="AT68" s="7"/>
      <c r="AU68" s="24"/>
      <c r="AV68" s="24"/>
      <c r="AW68" s="24"/>
      <c r="AX68" s="3"/>
      <c r="AY68" s="3"/>
      <c r="AZ68" s="3"/>
      <c r="BA68" s="3"/>
      <c r="BB68" s="3"/>
      <c r="BC68" s="24"/>
      <c r="BD68" s="24"/>
      <c r="BE68" s="24"/>
      <c r="BF68" s="3"/>
      <c r="BG68" s="3"/>
      <c r="BH68" s="3"/>
      <c r="BI68" s="3"/>
      <c r="BJ68" s="3"/>
      <c r="BK68" s="3"/>
      <c r="BR68" s="3"/>
    </row>
    <row r="69" spans="2:70" customFormat="1" x14ac:dyDescent="0.3">
      <c r="B69" s="6"/>
      <c r="C69" s="6"/>
      <c r="D69" s="6"/>
      <c r="E69" s="3"/>
      <c r="F69" s="23"/>
      <c r="G69" s="3"/>
      <c r="H69" s="3"/>
      <c r="M69" s="11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7"/>
      <c r="AE69" s="7"/>
      <c r="AF69" s="7"/>
      <c r="AG69" s="7"/>
      <c r="AH69" s="3"/>
      <c r="AI69" s="3"/>
      <c r="AJ69" s="3"/>
      <c r="AK69" s="3"/>
      <c r="AL69" s="7"/>
      <c r="AM69" s="22"/>
      <c r="AN69" s="22"/>
      <c r="AO69" s="22"/>
      <c r="AP69" s="3"/>
      <c r="AQ69" s="3"/>
      <c r="AR69" s="3"/>
      <c r="AS69" s="3"/>
      <c r="AT69" s="7"/>
      <c r="AU69" s="24"/>
      <c r="AV69" s="24"/>
      <c r="AW69" s="24"/>
      <c r="AX69" s="3"/>
      <c r="AY69" s="3"/>
      <c r="AZ69" s="3"/>
      <c r="BA69" s="3"/>
      <c r="BB69" s="3"/>
      <c r="BC69" s="24"/>
      <c r="BD69" s="24"/>
      <c r="BE69" s="24"/>
      <c r="BF69" s="3"/>
      <c r="BG69" s="3"/>
      <c r="BH69" s="3"/>
      <c r="BI69" s="3"/>
      <c r="BJ69" s="3"/>
      <c r="BK69" s="3"/>
      <c r="BR69" s="3"/>
    </row>
    <row r="70" spans="2:70" customFormat="1" x14ac:dyDescent="0.3">
      <c r="B70" s="6"/>
      <c r="C70" s="6"/>
      <c r="D70" s="6"/>
      <c r="E70" s="3"/>
      <c r="F70" s="23"/>
      <c r="G70" s="3"/>
      <c r="H70" s="3"/>
      <c r="M70" s="11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7"/>
      <c r="AE70" s="7"/>
      <c r="AF70" s="7"/>
      <c r="AG70" s="7"/>
      <c r="AH70" s="3"/>
      <c r="AI70" s="3"/>
      <c r="AJ70" s="3"/>
      <c r="AK70" s="3"/>
      <c r="AL70" s="7"/>
      <c r="AM70" s="22"/>
      <c r="AN70" s="22"/>
      <c r="AO70" s="22"/>
      <c r="AP70" s="3"/>
      <c r="AQ70" s="3"/>
      <c r="AR70" s="3"/>
      <c r="AS70" s="3"/>
      <c r="AT70" s="7"/>
      <c r="AU70" s="24"/>
      <c r="AV70" s="24"/>
      <c r="AW70" s="24"/>
      <c r="AX70" s="3"/>
      <c r="AY70" s="3"/>
      <c r="AZ70" s="3"/>
      <c r="BA70" s="3"/>
      <c r="BB70" s="3"/>
      <c r="BC70" s="24"/>
      <c r="BD70" s="24"/>
      <c r="BE70" s="24"/>
      <c r="BF70" s="3"/>
      <c r="BG70" s="3"/>
      <c r="BH70" s="3"/>
      <c r="BI70" s="3"/>
      <c r="BJ70" s="3"/>
      <c r="BK70" s="3"/>
      <c r="BR70" s="3"/>
    </row>
    <row r="71" spans="2:70" customFormat="1" x14ac:dyDescent="0.3">
      <c r="B71" s="6"/>
      <c r="C71" s="6"/>
      <c r="D71" s="6"/>
      <c r="E71" s="3"/>
      <c r="F71" s="23"/>
      <c r="G71" s="3"/>
      <c r="H71" s="3"/>
      <c r="M71" s="11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7"/>
      <c r="AE71" s="7"/>
      <c r="AF71" s="7"/>
      <c r="AG71" s="7"/>
      <c r="AH71" s="3"/>
      <c r="AI71" s="3"/>
      <c r="AJ71" s="3"/>
      <c r="AK71" s="3"/>
      <c r="AL71" s="7"/>
      <c r="AM71" s="22"/>
      <c r="AN71" s="22"/>
      <c r="AO71" s="22"/>
      <c r="AP71" s="3"/>
      <c r="AQ71" s="3"/>
      <c r="AR71" s="3"/>
      <c r="AS71" s="3"/>
      <c r="AT71" s="7"/>
      <c r="AU71" s="24"/>
      <c r="AV71" s="24"/>
      <c r="AW71" s="24"/>
      <c r="AX71" s="3"/>
      <c r="AY71" s="3"/>
      <c r="AZ71" s="3"/>
      <c r="BA71" s="3"/>
      <c r="BB71" s="3"/>
      <c r="BC71" s="24"/>
      <c r="BD71" s="24"/>
      <c r="BE71" s="24"/>
      <c r="BF71" s="3"/>
      <c r="BG71" s="3"/>
      <c r="BH71" s="3"/>
      <c r="BI71" s="3"/>
      <c r="BJ71" s="3"/>
      <c r="BK71" s="3"/>
      <c r="BR71" s="3"/>
    </row>
    <row r="72" spans="2:70" customFormat="1" x14ac:dyDescent="0.3">
      <c r="B72" s="6"/>
      <c r="C72" s="6"/>
      <c r="D72" s="6"/>
      <c r="E72" s="3"/>
      <c r="F72" s="23"/>
      <c r="G72" s="3"/>
      <c r="H72" s="3"/>
      <c r="M72" s="11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7"/>
      <c r="AE72" s="7"/>
      <c r="AF72" s="7"/>
      <c r="AG72" s="7"/>
      <c r="AH72" s="3"/>
      <c r="AI72" s="3"/>
      <c r="AJ72" s="3"/>
      <c r="AK72" s="3"/>
      <c r="AL72" s="7"/>
      <c r="AM72" s="22"/>
      <c r="AN72" s="22"/>
      <c r="AO72" s="22"/>
      <c r="AP72" s="3"/>
      <c r="AQ72" s="3"/>
      <c r="AR72" s="3"/>
      <c r="AS72" s="3"/>
      <c r="AT72" s="7"/>
      <c r="AU72" s="24"/>
      <c r="AV72" s="24"/>
      <c r="AW72" s="24"/>
      <c r="AX72" s="3"/>
      <c r="AY72" s="3"/>
      <c r="AZ72" s="3"/>
      <c r="BA72" s="3"/>
      <c r="BB72" s="3"/>
      <c r="BC72" s="24"/>
      <c r="BD72" s="24"/>
      <c r="BE72" s="24"/>
      <c r="BF72" s="3"/>
      <c r="BG72" s="3"/>
      <c r="BH72" s="3"/>
      <c r="BI72" s="3"/>
      <c r="BJ72" s="3"/>
      <c r="BK72" s="3"/>
      <c r="BR72" s="3"/>
    </row>
    <row r="73" spans="2:70" customFormat="1" x14ac:dyDescent="0.3">
      <c r="B73" s="6"/>
      <c r="C73" s="6"/>
      <c r="D73" s="6"/>
      <c r="E73" s="3"/>
      <c r="F73" s="23"/>
      <c r="G73" s="3"/>
      <c r="H73" s="3"/>
      <c r="M73" s="11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7"/>
      <c r="AE73" s="7"/>
      <c r="AF73" s="7"/>
      <c r="AG73" s="7"/>
      <c r="AH73" s="3"/>
      <c r="AI73" s="3"/>
      <c r="AJ73" s="3"/>
      <c r="AK73" s="3"/>
      <c r="AL73" s="7"/>
      <c r="AM73" s="22"/>
      <c r="AN73" s="22"/>
      <c r="AO73" s="22"/>
      <c r="AP73" s="3"/>
      <c r="AQ73" s="3"/>
      <c r="AR73" s="3"/>
      <c r="AS73" s="3"/>
      <c r="AT73" s="7"/>
      <c r="AU73" s="24"/>
      <c r="AV73" s="24"/>
      <c r="AW73" s="24"/>
      <c r="AX73" s="3"/>
      <c r="AY73" s="3"/>
      <c r="AZ73" s="3"/>
      <c r="BA73" s="3"/>
      <c r="BB73" s="3"/>
      <c r="BC73" s="24"/>
      <c r="BD73" s="24"/>
      <c r="BE73" s="24"/>
      <c r="BF73" s="3"/>
      <c r="BG73" s="3"/>
      <c r="BH73" s="3"/>
      <c r="BI73" s="3"/>
      <c r="BJ73" s="3"/>
      <c r="BK73" s="3"/>
      <c r="BR73" s="3"/>
    </row>
    <row r="74" spans="2:70" customFormat="1" x14ac:dyDescent="0.3">
      <c r="B74" s="6"/>
      <c r="C74" s="6"/>
      <c r="D74" s="6"/>
      <c r="E74" s="3"/>
      <c r="F74" s="23"/>
      <c r="G74" s="3"/>
      <c r="H74" s="3"/>
      <c r="M74" s="11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7"/>
      <c r="AE74" s="7"/>
      <c r="AF74" s="7"/>
      <c r="AG74" s="7"/>
      <c r="AH74" s="3"/>
      <c r="AI74" s="3"/>
      <c r="AJ74" s="3"/>
      <c r="AK74" s="3"/>
      <c r="AL74" s="7"/>
      <c r="AM74" s="22"/>
      <c r="AN74" s="22"/>
      <c r="AO74" s="22"/>
      <c r="AP74" s="3"/>
      <c r="AQ74" s="3"/>
      <c r="AR74" s="3"/>
      <c r="AS74" s="3"/>
      <c r="AT74" s="7"/>
      <c r="AU74" s="24"/>
      <c r="AV74" s="24"/>
      <c r="AW74" s="24"/>
      <c r="AX74" s="3"/>
      <c r="AY74" s="3"/>
      <c r="AZ74" s="3"/>
      <c r="BA74" s="3"/>
      <c r="BB74" s="3"/>
      <c r="BC74" s="24"/>
      <c r="BD74" s="24"/>
      <c r="BE74" s="24"/>
      <c r="BF74" s="3"/>
      <c r="BG74" s="3"/>
      <c r="BH74" s="3"/>
      <c r="BI74" s="3"/>
      <c r="BJ74" s="3"/>
      <c r="BK74" s="3"/>
      <c r="BR74" s="3"/>
    </row>
    <row r="75" spans="2:70" customFormat="1" x14ac:dyDescent="0.3">
      <c r="B75" s="6"/>
      <c r="C75" s="6"/>
      <c r="D75" s="6"/>
      <c r="E75" s="3"/>
      <c r="F75" s="23"/>
      <c r="G75" s="3"/>
      <c r="H75" s="3"/>
      <c r="M75" s="11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7"/>
      <c r="AE75" s="7"/>
      <c r="AF75" s="7"/>
      <c r="AG75" s="7"/>
      <c r="AH75" s="3"/>
      <c r="AI75" s="3"/>
      <c r="AJ75" s="3"/>
      <c r="AK75" s="3"/>
      <c r="AL75" s="7"/>
      <c r="AM75" s="22"/>
      <c r="AN75" s="22"/>
      <c r="AO75" s="22"/>
      <c r="AP75" s="3"/>
      <c r="AQ75" s="3"/>
      <c r="AR75" s="3"/>
      <c r="AS75" s="3"/>
      <c r="AT75" s="7"/>
      <c r="AU75" s="24"/>
      <c r="AV75" s="24"/>
      <c r="AW75" s="24"/>
      <c r="AX75" s="3"/>
      <c r="AY75" s="3"/>
      <c r="AZ75" s="3"/>
      <c r="BA75" s="3"/>
      <c r="BB75" s="3"/>
      <c r="BC75" s="24"/>
      <c r="BD75" s="24"/>
      <c r="BE75" s="24"/>
      <c r="BF75" s="3"/>
      <c r="BG75" s="3"/>
      <c r="BH75" s="3"/>
      <c r="BI75" s="3"/>
      <c r="BJ75" s="3"/>
      <c r="BK75" s="3"/>
      <c r="BR75" s="3"/>
    </row>
    <row r="76" spans="2:70" customFormat="1" x14ac:dyDescent="0.3">
      <c r="B76" s="6"/>
      <c r="C76" s="6"/>
      <c r="D76" s="6"/>
      <c r="E76" s="3"/>
      <c r="F76" s="23"/>
      <c r="G76" s="3"/>
      <c r="H76" s="3"/>
      <c r="M76" s="11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7"/>
      <c r="AE76" s="7"/>
      <c r="AF76" s="7"/>
      <c r="AG76" s="7"/>
      <c r="AH76" s="3"/>
      <c r="AI76" s="3"/>
      <c r="AJ76" s="3"/>
      <c r="AK76" s="3"/>
      <c r="AL76" s="7"/>
      <c r="AM76" s="22"/>
      <c r="AN76" s="22"/>
      <c r="AO76" s="22"/>
      <c r="AP76" s="3"/>
      <c r="AQ76" s="3"/>
      <c r="AR76" s="3"/>
      <c r="AS76" s="3"/>
      <c r="AT76" s="7"/>
      <c r="AU76" s="24"/>
      <c r="AV76" s="24"/>
      <c r="AW76" s="24"/>
      <c r="AX76" s="3"/>
      <c r="AY76" s="3"/>
      <c r="AZ76" s="3"/>
      <c r="BA76" s="3"/>
      <c r="BB76" s="3"/>
      <c r="BC76" s="24"/>
      <c r="BD76" s="24"/>
      <c r="BE76" s="24"/>
      <c r="BF76" s="3"/>
      <c r="BG76" s="3"/>
      <c r="BH76" s="3"/>
      <c r="BI76" s="3"/>
      <c r="BJ76" s="3"/>
      <c r="BK76" s="3"/>
      <c r="BR76" s="3"/>
    </row>
    <row r="77" spans="2:70" customFormat="1" x14ac:dyDescent="0.3">
      <c r="B77" s="6"/>
      <c r="C77" s="6"/>
      <c r="D77" s="6"/>
      <c r="E77" s="3"/>
      <c r="F77" s="23"/>
      <c r="G77" s="3"/>
      <c r="H77" s="3"/>
      <c r="M77" s="11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7"/>
      <c r="AE77" s="7"/>
      <c r="AF77" s="7"/>
      <c r="AG77" s="7"/>
      <c r="AH77" s="3"/>
      <c r="AI77" s="3"/>
      <c r="AJ77" s="3"/>
      <c r="AK77" s="3"/>
      <c r="AL77" s="7"/>
      <c r="AM77" s="22"/>
      <c r="AN77" s="22"/>
      <c r="AO77" s="22"/>
      <c r="AP77" s="3"/>
      <c r="AQ77" s="3"/>
      <c r="AR77" s="3"/>
      <c r="AS77" s="3"/>
      <c r="AT77" s="7"/>
      <c r="AU77" s="24"/>
      <c r="AV77" s="24"/>
      <c r="AW77" s="24"/>
      <c r="AX77" s="3"/>
      <c r="AY77" s="3"/>
      <c r="AZ77" s="3"/>
      <c r="BA77" s="3"/>
      <c r="BB77" s="3"/>
      <c r="BC77" s="24"/>
      <c r="BD77" s="24"/>
      <c r="BE77" s="24"/>
      <c r="BF77" s="3"/>
      <c r="BG77" s="3"/>
      <c r="BH77" s="3"/>
      <c r="BI77" s="3"/>
      <c r="BJ77" s="3"/>
      <c r="BK77" s="3"/>
      <c r="BR77" s="3"/>
    </row>
    <row r="78" spans="2:70" customFormat="1" x14ac:dyDescent="0.3">
      <c r="B78" s="6"/>
      <c r="C78" s="6"/>
      <c r="D78" s="6"/>
      <c r="E78" s="3"/>
      <c r="F78" s="23"/>
      <c r="G78" s="3"/>
      <c r="H78" s="3"/>
      <c r="M78" s="11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7"/>
      <c r="AE78" s="7"/>
      <c r="AF78" s="7"/>
      <c r="AG78" s="7"/>
      <c r="AH78" s="3"/>
      <c r="AI78" s="3"/>
      <c r="AJ78" s="3"/>
      <c r="AK78" s="3"/>
      <c r="AL78" s="7"/>
      <c r="AM78" s="22"/>
      <c r="AN78" s="22"/>
      <c r="AO78" s="22"/>
      <c r="AP78" s="3"/>
      <c r="AQ78" s="3"/>
      <c r="AR78" s="3"/>
      <c r="AS78" s="3"/>
      <c r="AT78" s="7"/>
      <c r="AU78" s="24"/>
      <c r="AV78" s="24"/>
      <c r="AW78" s="24"/>
      <c r="AX78" s="3"/>
      <c r="AY78" s="3"/>
      <c r="AZ78" s="3"/>
      <c r="BA78" s="3"/>
      <c r="BB78" s="3"/>
      <c r="BC78" s="24"/>
      <c r="BD78" s="24"/>
      <c r="BE78" s="24"/>
      <c r="BF78" s="3"/>
      <c r="BG78" s="3"/>
      <c r="BH78" s="3"/>
      <c r="BI78" s="3"/>
      <c r="BJ78" s="3"/>
      <c r="BK78" s="3"/>
      <c r="BR78" s="3"/>
    </row>
    <row r="79" spans="2:70" customFormat="1" x14ac:dyDescent="0.3">
      <c r="B79" s="6"/>
      <c r="C79" s="6"/>
      <c r="D79" s="6"/>
      <c r="E79" s="3"/>
      <c r="F79" s="23"/>
      <c r="G79" s="3"/>
      <c r="H79" s="3"/>
      <c r="M79" s="11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7"/>
      <c r="AE79" s="7"/>
      <c r="AF79" s="7"/>
      <c r="AG79" s="7"/>
      <c r="AH79" s="3"/>
      <c r="AI79" s="3"/>
      <c r="AJ79" s="3"/>
      <c r="AK79" s="3"/>
      <c r="AL79" s="7"/>
      <c r="AM79" s="22"/>
      <c r="AN79" s="22"/>
      <c r="AO79" s="22"/>
      <c r="AP79" s="3"/>
      <c r="AQ79" s="3"/>
      <c r="AR79" s="3"/>
      <c r="AS79" s="3"/>
      <c r="AT79" s="7"/>
      <c r="AU79" s="24"/>
      <c r="AV79" s="24"/>
      <c r="AW79" s="24"/>
      <c r="AX79" s="3"/>
      <c r="AY79" s="3"/>
      <c r="AZ79" s="3"/>
      <c r="BA79" s="3"/>
      <c r="BB79" s="3"/>
      <c r="BC79" s="24"/>
      <c r="BD79" s="24"/>
      <c r="BE79" s="24"/>
      <c r="BF79" s="3"/>
      <c r="BG79" s="3"/>
      <c r="BH79" s="3"/>
      <c r="BI79" s="3"/>
      <c r="BJ79" s="3"/>
      <c r="BK79" s="3"/>
      <c r="BR79" s="3"/>
    </row>
    <row r="80" spans="2:70" customFormat="1" x14ac:dyDescent="0.3">
      <c r="B80" s="6"/>
      <c r="C80" s="6"/>
      <c r="D80" s="6"/>
      <c r="E80" s="3"/>
      <c r="F80" s="23"/>
      <c r="G80" s="3"/>
      <c r="H80" s="3"/>
      <c r="M80" s="11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7"/>
      <c r="AE80" s="7"/>
      <c r="AF80" s="7"/>
      <c r="AG80" s="7"/>
      <c r="AH80" s="3"/>
      <c r="AI80" s="3"/>
      <c r="AJ80" s="3"/>
      <c r="AK80" s="3"/>
      <c r="AL80" s="7"/>
      <c r="AM80" s="22"/>
      <c r="AN80" s="22"/>
      <c r="AO80" s="22"/>
      <c r="AP80" s="3"/>
      <c r="AQ80" s="3"/>
      <c r="AR80" s="3"/>
      <c r="AS80" s="3"/>
      <c r="AT80" s="7"/>
      <c r="AU80" s="24"/>
      <c r="AV80" s="24"/>
      <c r="AW80" s="24"/>
      <c r="AX80" s="3"/>
      <c r="AY80" s="3"/>
      <c r="AZ80" s="3"/>
      <c r="BA80" s="3"/>
      <c r="BB80" s="3"/>
      <c r="BC80" s="24"/>
      <c r="BD80" s="24"/>
      <c r="BE80" s="24"/>
      <c r="BF80" s="3"/>
      <c r="BG80" s="3"/>
      <c r="BH80" s="3"/>
      <c r="BI80" s="3"/>
      <c r="BJ80" s="3"/>
      <c r="BK80" s="3"/>
      <c r="BR80" s="3"/>
    </row>
    <row r="81" spans="2:70" customFormat="1" x14ac:dyDescent="0.3">
      <c r="B81" s="6"/>
      <c r="C81" s="6"/>
      <c r="D81" s="6"/>
      <c r="E81" s="3"/>
      <c r="F81" s="23"/>
      <c r="G81" s="3"/>
      <c r="H81" s="3"/>
      <c r="M81" s="11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7"/>
      <c r="AE81" s="7"/>
      <c r="AF81" s="7"/>
      <c r="AG81" s="7"/>
      <c r="AH81" s="3"/>
      <c r="AI81" s="3"/>
      <c r="AJ81" s="3"/>
      <c r="AK81" s="3"/>
      <c r="AL81" s="7"/>
      <c r="AM81" s="22"/>
      <c r="AN81" s="22"/>
      <c r="AO81" s="22"/>
      <c r="AP81" s="3"/>
      <c r="AQ81" s="3"/>
      <c r="AR81" s="3"/>
      <c r="AS81" s="3"/>
      <c r="AT81" s="7"/>
      <c r="AU81" s="24"/>
      <c r="AV81" s="24"/>
      <c r="AW81" s="24"/>
      <c r="AX81" s="3"/>
      <c r="AY81" s="3"/>
      <c r="AZ81" s="3"/>
      <c r="BA81" s="3"/>
      <c r="BB81" s="3"/>
      <c r="BC81" s="24"/>
      <c r="BD81" s="24"/>
      <c r="BE81" s="24"/>
      <c r="BF81" s="3"/>
      <c r="BG81" s="3"/>
      <c r="BH81" s="3"/>
      <c r="BI81" s="3"/>
      <c r="BJ81" s="3"/>
      <c r="BK81" s="3"/>
      <c r="BR81" s="3"/>
    </row>
    <row r="82" spans="2:70" customFormat="1" x14ac:dyDescent="0.3">
      <c r="B82" s="6"/>
      <c r="C82" s="6"/>
      <c r="D82" s="6"/>
      <c r="E82" s="3"/>
      <c r="F82" s="23"/>
      <c r="G82" s="3"/>
      <c r="H82" s="3"/>
      <c r="M82" s="11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7"/>
      <c r="AE82" s="7"/>
      <c r="AF82" s="7"/>
      <c r="AG82" s="7"/>
      <c r="AH82" s="3"/>
      <c r="AI82" s="3"/>
      <c r="AJ82" s="3"/>
      <c r="AK82" s="3"/>
      <c r="AL82" s="7"/>
      <c r="AM82" s="22"/>
      <c r="AN82" s="22"/>
      <c r="AO82" s="22"/>
      <c r="AP82" s="3"/>
      <c r="AQ82" s="3"/>
      <c r="AR82" s="3"/>
      <c r="AS82" s="3"/>
      <c r="AT82" s="7"/>
      <c r="AU82" s="24"/>
      <c r="AV82" s="24"/>
      <c r="AW82" s="24"/>
      <c r="AX82" s="3"/>
      <c r="AY82" s="3"/>
      <c r="AZ82" s="3"/>
      <c r="BA82" s="3"/>
      <c r="BB82" s="3"/>
      <c r="BC82" s="24"/>
      <c r="BD82" s="24"/>
      <c r="BE82" s="24"/>
      <c r="BF82" s="3"/>
      <c r="BG82" s="3"/>
      <c r="BH82" s="3"/>
      <c r="BI82" s="3"/>
      <c r="BJ82" s="3"/>
      <c r="BK82" s="3"/>
      <c r="BR82" s="3"/>
    </row>
    <row r="83" spans="2:70" customFormat="1" x14ac:dyDescent="0.3">
      <c r="B83" s="6"/>
      <c r="C83" s="6"/>
      <c r="D83" s="6"/>
      <c r="E83" s="3"/>
      <c r="F83" s="23"/>
      <c r="G83" s="3"/>
      <c r="H83" s="3"/>
      <c r="M83" s="11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7"/>
      <c r="AE83" s="7"/>
      <c r="AF83" s="7"/>
      <c r="AG83" s="7"/>
      <c r="AH83" s="3"/>
      <c r="AI83" s="3"/>
      <c r="AJ83" s="3"/>
      <c r="AK83" s="3"/>
      <c r="AL83" s="7"/>
      <c r="AM83" s="22"/>
      <c r="AN83" s="22"/>
      <c r="AO83" s="22"/>
      <c r="AP83" s="3"/>
      <c r="AQ83" s="3"/>
      <c r="AR83" s="3"/>
      <c r="AS83" s="3"/>
      <c r="AT83" s="7"/>
      <c r="AU83" s="24"/>
      <c r="AV83" s="24"/>
      <c r="AW83" s="24"/>
      <c r="AX83" s="3"/>
      <c r="AY83" s="3"/>
      <c r="AZ83" s="3"/>
      <c r="BA83" s="3"/>
      <c r="BB83" s="3"/>
      <c r="BC83" s="24"/>
      <c r="BD83" s="24"/>
      <c r="BE83" s="24"/>
      <c r="BF83" s="3"/>
      <c r="BG83" s="3"/>
      <c r="BH83" s="3"/>
      <c r="BI83" s="3"/>
      <c r="BJ83" s="3"/>
      <c r="BK83" s="3"/>
      <c r="BR83" s="3"/>
    </row>
    <row r="84" spans="2:70" customFormat="1" x14ac:dyDescent="0.3">
      <c r="B84" s="6"/>
      <c r="C84" s="6"/>
      <c r="D84" s="6"/>
      <c r="E84" s="3"/>
      <c r="F84" s="23"/>
      <c r="G84" s="3"/>
      <c r="H84" s="3"/>
      <c r="M84" s="11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7"/>
      <c r="AE84" s="7"/>
      <c r="AF84" s="7"/>
      <c r="AG84" s="7"/>
      <c r="AH84" s="3"/>
      <c r="AI84" s="3"/>
      <c r="AJ84" s="3"/>
      <c r="AK84" s="3"/>
      <c r="AL84" s="7"/>
      <c r="AM84" s="22"/>
      <c r="AN84" s="22"/>
      <c r="AO84" s="22"/>
      <c r="AP84" s="3"/>
      <c r="AQ84" s="3"/>
      <c r="AR84" s="3"/>
      <c r="AS84" s="3"/>
      <c r="AT84" s="7"/>
      <c r="AU84" s="24"/>
      <c r="AV84" s="24"/>
      <c r="AW84" s="24"/>
      <c r="AX84" s="3"/>
      <c r="AY84" s="3"/>
      <c r="AZ84" s="3"/>
      <c r="BA84" s="3"/>
      <c r="BB84" s="3"/>
      <c r="BC84" s="24"/>
      <c r="BD84" s="24"/>
      <c r="BE84" s="24"/>
      <c r="BF84" s="3"/>
      <c r="BG84" s="3"/>
      <c r="BH84" s="3"/>
      <c r="BI84" s="3"/>
      <c r="BJ84" s="3"/>
      <c r="BK84" s="3"/>
      <c r="BR84" s="3"/>
    </row>
    <row r="85" spans="2:70" customFormat="1" x14ac:dyDescent="0.3">
      <c r="B85" s="6"/>
      <c r="C85" s="6"/>
      <c r="D85" s="6"/>
      <c r="E85" s="3"/>
      <c r="F85" s="23"/>
      <c r="G85" s="3"/>
      <c r="H85" s="3"/>
      <c r="M85" s="11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7"/>
      <c r="AE85" s="7"/>
      <c r="AF85" s="7"/>
      <c r="AG85" s="7"/>
      <c r="AH85" s="3"/>
      <c r="AI85" s="3"/>
      <c r="AJ85" s="3"/>
      <c r="AK85" s="3"/>
      <c r="AL85" s="7"/>
      <c r="AM85" s="22"/>
      <c r="AN85" s="22"/>
      <c r="AO85" s="22"/>
      <c r="AP85" s="3"/>
      <c r="AQ85" s="3"/>
      <c r="AR85" s="3"/>
      <c r="AS85" s="3"/>
      <c r="AT85" s="7"/>
      <c r="AU85" s="24"/>
      <c r="AV85" s="24"/>
      <c r="AW85" s="24"/>
      <c r="AX85" s="3"/>
      <c r="AY85" s="3"/>
      <c r="AZ85" s="3"/>
      <c r="BA85" s="3"/>
      <c r="BB85" s="3"/>
      <c r="BC85" s="24"/>
      <c r="BD85" s="24"/>
      <c r="BE85" s="24"/>
      <c r="BF85" s="3"/>
      <c r="BG85" s="3"/>
      <c r="BH85" s="3"/>
      <c r="BI85" s="3"/>
      <c r="BJ85" s="3"/>
      <c r="BK85" s="3"/>
      <c r="BR85" s="3"/>
    </row>
    <row r="86" spans="2:70" customFormat="1" x14ac:dyDescent="0.3">
      <c r="B86" s="6"/>
      <c r="C86" s="6"/>
      <c r="D86" s="6"/>
      <c r="E86" s="3"/>
      <c r="F86" s="23"/>
      <c r="G86" s="3"/>
      <c r="H86" s="3"/>
      <c r="M86" s="11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7"/>
      <c r="AE86" s="7"/>
      <c r="AF86" s="7"/>
      <c r="AG86" s="7"/>
      <c r="AH86" s="3"/>
      <c r="AI86" s="3"/>
      <c r="AJ86" s="3"/>
      <c r="AK86" s="3"/>
      <c r="AL86" s="7"/>
      <c r="AM86" s="22"/>
      <c r="AN86" s="22"/>
      <c r="AO86" s="22"/>
      <c r="AP86" s="3"/>
      <c r="AQ86" s="3"/>
      <c r="AR86" s="3"/>
      <c r="AS86" s="3"/>
      <c r="AT86" s="7"/>
      <c r="AU86" s="24"/>
      <c r="AV86" s="24"/>
      <c r="AW86" s="24"/>
      <c r="AX86" s="3"/>
      <c r="AY86" s="3"/>
      <c r="AZ86" s="3"/>
      <c r="BA86" s="3"/>
      <c r="BB86" s="3"/>
      <c r="BC86" s="24"/>
      <c r="BD86" s="24"/>
      <c r="BE86" s="24"/>
      <c r="BF86" s="3"/>
      <c r="BG86" s="3"/>
      <c r="BH86" s="3"/>
      <c r="BI86" s="3"/>
      <c r="BJ86" s="3"/>
      <c r="BK86" s="3"/>
      <c r="BR86" s="3"/>
    </row>
    <row r="87" spans="2:70" customFormat="1" x14ac:dyDescent="0.3">
      <c r="B87" s="6"/>
      <c r="C87" s="6"/>
      <c r="D87" s="6"/>
      <c r="E87" s="3"/>
      <c r="F87" s="23"/>
      <c r="G87" s="3"/>
      <c r="H87" s="3"/>
      <c r="M87" s="11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7"/>
      <c r="AE87" s="7"/>
      <c r="AF87" s="7"/>
      <c r="AG87" s="7"/>
      <c r="AH87" s="3"/>
      <c r="AI87" s="3"/>
      <c r="AJ87" s="3"/>
      <c r="AK87" s="3"/>
      <c r="AL87" s="7"/>
      <c r="AM87" s="22"/>
      <c r="AN87" s="22"/>
      <c r="AO87" s="22"/>
      <c r="AP87" s="3"/>
      <c r="AQ87" s="3"/>
      <c r="AR87" s="3"/>
      <c r="AS87" s="3"/>
      <c r="AT87" s="7"/>
      <c r="AU87" s="24"/>
      <c r="AV87" s="24"/>
      <c r="AW87" s="24"/>
      <c r="AX87" s="3"/>
      <c r="AY87" s="3"/>
      <c r="AZ87" s="3"/>
      <c r="BA87" s="3"/>
      <c r="BB87" s="3"/>
      <c r="BC87" s="24"/>
      <c r="BD87" s="24"/>
      <c r="BE87" s="24"/>
      <c r="BF87" s="3"/>
      <c r="BG87" s="3"/>
      <c r="BH87" s="3"/>
      <c r="BI87" s="3"/>
      <c r="BJ87" s="3"/>
      <c r="BK87" s="3"/>
      <c r="BR87" s="3"/>
    </row>
    <row r="88" spans="2:70" customFormat="1" x14ac:dyDescent="0.3">
      <c r="B88" s="6"/>
      <c r="C88" s="6"/>
      <c r="D88" s="6"/>
      <c r="E88" s="3"/>
      <c r="F88" s="23"/>
      <c r="G88" s="3"/>
      <c r="H88" s="3"/>
      <c r="M88" s="11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7"/>
      <c r="AE88" s="7"/>
      <c r="AF88" s="7"/>
      <c r="AG88" s="7"/>
      <c r="AH88" s="3"/>
      <c r="AI88" s="3"/>
      <c r="AJ88" s="3"/>
      <c r="AK88" s="3"/>
      <c r="AL88" s="7"/>
      <c r="AM88" s="22"/>
      <c r="AN88" s="22"/>
      <c r="AO88" s="22"/>
      <c r="AP88" s="3"/>
      <c r="AQ88" s="3"/>
      <c r="AR88" s="3"/>
      <c r="AS88" s="3"/>
      <c r="AT88" s="7"/>
      <c r="AU88" s="24"/>
      <c r="AV88" s="24"/>
      <c r="AW88" s="24"/>
      <c r="AX88" s="3"/>
      <c r="AY88" s="3"/>
      <c r="AZ88" s="3"/>
      <c r="BA88" s="3"/>
      <c r="BB88" s="3"/>
      <c r="BC88" s="24"/>
      <c r="BD88" s="24"/>
      <c r="BE88" s="24"/>
      <c r="BF88" s="3"/>
      <c r="BG88" s="3"/>
      <c r="BH88" s="3"/>
      <c r="BI88" s="3"/>
      <c r="BJ88" s="3"/>
      <c r="BK88" s="3"/>
      <c r="BR88" s="3"/>
    </row>
    <row r="89" spans="2:70" customFormat="1" x14ac:dyDescent="0.3">
      <c r="B89" s="6"/>
      <c r="C89" s="6"/>
      <c r="D89" s="6"/>
      <c r="E89" s="3"/>
      <c r="F89" s="23"/>
      <c r="G89" s="3"/>
      <c r="H89" s="3"/>
      <c r="M89" s="11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7"/>
      <c r="AE89" s="7"/>
      <c r="AF89" s="7"/>
      <c r="AG89" s="7"/>
      <c r="AH89" s="3"/>
      <c r="AI89" s="3"/>
      <c r="AJ89" s="3"/>
      <c r="AK89" s="3"/>
      <c r="AL89" s="7"/>
      <c r="AM89" s="22"/>
      <c r="AN89" s="22"/>
      <c r="AO89" s="22"/>
      <c r="AP89" s="3"/>
      <c r="AQ89" s="3"/>
      <c r="AR89" s="3"/>
      <c r="AS89" s="3"/>
      <c r="AT89" s="7"/>
      <c r="AU89" s="24"/>
      <c r="AV89" s="24"/>
      <c r="AW89" s="24"/>
      <c r="AX89" s="3"/>
      <c r="AY89" s="3"/>
      <c r="AZ89" s="3"/>
      <c r="BA89" s="3"/>
      <c r="BB89" s="3"/>
      <c r="BC89" s="24"/>
      <c r="BD89" s="24"/>
      <c r="BE89" s="24"/>
      <c r="BF89" s="3"/>
      <c r="BG89" s="3"/>
      <c r="BH89" s="3"/>
      <c r="BI89" s="3"/>
      <c r="BJ89" s="3"/>
      <c r="BK89" s="3"/>
      <c r="BR89" s="3"/>
    </row>
    <row r="90" spans="2:70" customFormat="1" x14ac:dyDescent="0.3">
      <c r="B90" s="6"/>
      <c r="C90" s="6"/>
      <c r="D90" s="6"/>
      <c r="E90" s="3"/>
      <c r="F90" s="23"/>
      <c r="G90" s="3"/>
      <c r="H90" s="3"/>
      <c r="M90" s="11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7"/>
      <c r="AE90" s="7"/>
      <c r="AF90" s="7"/>
      <c r="AG90" s="7"/>
      <c r="AH90" s="3"/>
      <c r="AI90" s="3"/>
      <c r="AJ90" s="3"/>
      <c r="AK90" s="3"/>
      <c r="AL90" s="7"/>
      <c r="AM90" s="22"/>
      <c r="AN90" s="22"/>
      <c r="AO90" s="22"/>
      <c r="AP90" s="3"/>
      <c r="AQ90" s="3"/>
      <c r="AR90" s="3"/>
      <c r="AS90" s="3"/>
      <c r="AT90" s="7"/>
      <c r="AU90" s="24"/>
      <c r="AV90" s="24"/>
      <c r="AW90" s="24"/>
      <c r="AX90" s="3"/>
      <c r="AY90" s="3"/>
      <c r="AZ90" s="3"/>
      <c r="BA90" s="3"/>
      <c r="BB90" s="3"/>
      <c r="BC90" s="24"/>
      <c r="BD90" s="24"/>
      <c r="BE90" s="24"/>
      <c r="BF90" s="3"/>
      <c r="BG90" s="3"/>
      <c r="BH90" s="3"/>
      <c r="BI90" s="3"/>
      <c r="BJ90" s="3"/>
      <c r="BK90" s="3"/>
      <c r="BR90" s="3"/>
    </row>
    <row r="91" spans="2:70" customFormat="1" x14ac:dyDescent="0.3">
      <c r="B91" s="6"/>
      <c r="C91" s="6"/>
      <c r="D91" s="6"/>
      <c r="E91" s="3"/>
      <c r="F91" s="23"/>
      <c r="G91" s="3"/>
      <c r="H91" s="3"/>
      <c r="M91" s="11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7"/>
      <c r="AE91" s="7"/>
      <c r="AF91" s="7"/>
      <c r="AG91" s="7"/>
      <c r="AH91" s="3"/>
      <c r="AI91" s="3"/>
      <c r="AJ91" s="3"/>
      <c r="AK91" s="3"/>
      <c r="AL91" s="7"/>
      <c r="AM91" s="22"/>
      <c r="AN91" s="22"/>
      <c r="AO91" s="22"/>
      <c r="AP91" s="3"/>
      <c r="AQ91" s="3"/>
      <c r="AR91" s="3"/>
      <c r="AS91" s="3"/>
      <c r="AT91" s="7"/>
      <c r="AU91" s="24"/>
      <c r="AV91" s="24"/>
      <c r="AW91" s="24"/>
      <c r="AX91" s="3"/>
      <c r="AY91" s="3"/>
      <c r="AZ91" s="3"/>
      <c r="BA91" s="3"/>
      <c r="BB91" s="3"/>
      <c r="BC91" s="24"/>
      <c r="BD91" s="24"/>
      <c r="BE91" s="24"/>
      <c r="BF91" s="3"/>
      <c r="BG91" s="3"/>
      <c r="BH91" s="3"/>
      <c r="BI91" s="3"/>
      <c r="BJ91" s="3"/>
      <c r="BK91" s="3"/>
      <c r="BR91" s="3"/>
    </row>
    <row r="92" spans="2:70" customFormat="1" x14ac:dyDescent="0.3">
      <c r="B92" s="6"/>
      <c r="C92" s="6"/>
      <c r="D92" s="6"/>
      <c r="E92" s="3"/>
      <c r="F92" s="23"/>
      <c r="G92" s="3"/>
      <c r="H92" s="3"/>
      <c r="M92" s="11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7"/>
      <c r="AE92" s="7"/>
      <c r="AF92" s="7"/>
      <c r="AG92" s="7"/>
      <c r="AH92" s="3"/>
      <c r="AI92" s="3"/>
      <c r="AJ92" s="3"/>
      <c r="AK92" s="3"/>
      <c r="AL92" s="7"/>
      <c r="AM92" s="22"/>
      <c r="AN92" s="22"/>
      <c r="AO92" s="22"/>
      <c r="AP92" s="3"/>
      <c r="AQ92" s="3"/>
      <c r="AR92" s="3"/>
      <c r="AS92" s="3"/>
      <c r="AT92" s="7"/>
      <c r="AU92" s="24"/>
      <c r="AV92" s="24"/>
      <c r="AW92" s="24"/>
      <c r="AX92" s="3"/>
      <c r="AY92" s="3"/>
      <c r="AZ92" s="3"/>
      <c r="BA92" s="3"/>
      <c r="BB92" s="3"/>
      <c r="BC92" s="24"/>
      <c r="BD92" s="24"/>
      <c r="BE92" s="24"/>
      <c r="BF92" s="3"/>
      <c r="BG92" s="3"/>
      <c r="BH92" s="3"/>
      <c r="BI92" s="3"/>
      <c r="BJ92" s="3"/>
      <c r="BK92" s="3"/>
      <c r="BR92" s="3"/>
    </row>
    <row r="93" spans="2:70" customFormat="1" x14ac:dyDescent="0.3">
      <c r="B93" s="6"/>
      <c r="C93" s="6"/>
      <c r="D93" s="6"/>
      <c r="E93" s="3"/>
      <c r="F93" s="23"/>
      <c r="G93" s="3"/>
      <c r="H93" s="3"/>
      <c r="M93" s="11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7"/>
      <c r="AE93" s="7"/>
      <c r="AF93" s="7"/>
      <c r="AG93" s="7"/>
      <c r="AH93" s="3"/>
      <c r="AI93" s="3"/>
      <c r="AJ93" s="3"/>
      <c r="AK93" s="3"/>
      <c r="AL93" s="7"/>
      <c r="AM93" s="22"/>
      <c r="AN93" s="22"/>
      <c r="AO93" s="22"/>
      <c r="AP93" s="3"/>
      <c r="AQ93" s="3"/>
      <c r="AR93" s="3"/>
      <c r="AS93" s="3"/>
      <c r="AT93" s="7"/>
      <c r="AU93" s="24"/>
      <c r="AV93" s="24"/>
      <c r="AW93" s="24"/>
      <c r="AX93" s="3"/>
      <c r="AY93" s="3"/>
      <c r="AZ93" s="3"/>
      <c r="BA93" s="3"/>
      <c r="BB93" s="3"/>
      <c r="BC93" s="24"/>
      <c r="BD93" s="24"/>
      <c r="BE93" s="24"/>
      <c r="BF93" s="3"/>
      <c r="BG93" s="3"/>
      <c r="BH93" s="3"/>
      <c r="BI93" s="3"/>
      <c r="BJ93" s="3"/>
      <c r="BK93" s="3"/>
      <c r="BR93" s="3"/>
    </row>
    <row r="94" spans="2:70" customFormat="1" x14ac:dyDescent="0.3">
      <c r="B94" s="6"/>
      <c r="C94" s="6"/>
      <c r="D94" s="6"/>
      <c r="E94" s="3"/>
      <c r="F94" s="23"/>
      <c r="G94" s="3"/>
      <c r="H94" s="3"/>
      <c r="M94" s="11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7"/>
      <c r="AE94" s="7"/>
      <c r="AF94" s="7"/>
      <c r="AG94" s="7"/>
      <c r="AH94" s="3"/>
      <c r="AI94" s="3"/>
      <c r="AJ94" s="3"/>
      <c r="AK94" s="3"/>
      <c r="AL94" s="7"/>
      <c r="AM94" s="22"/>
      <c r="AN94" s="22"/>
      <c r="AO94" s="22"/>
      <c r="AP94" s="3"/>
      <c r="AQ94" s="3"/>
      <c r="AR94" s="3"/>
      <c r="AS94" s="3"/>
      <c r="AT94" s="7"/>
      <c r="AU94" s="24"/>
      <c r="AV94" s="24"/>
      <c r="AW94" s="24"/>
      <c r="AX94" s="3"/>
      <c r="AY94" s="3"/>
      <c r="AZ94" s="3"/>
      <c r="BA94" s="3"/>
      <c r="BB94" s="3"/>
      <c r="BC94" s="24"/>
      <c r="BD94" s="24"/>
      <c r="BE94" s="24"/>
      <c r="BF94" s="3"/>
      <c r="BG94" s="3"/>
      <c r="BH94" s="3"/>
      <c r="BI94" s="3"/>
      <c r="BJ94" s="3"/>
      <c r="BK94" s="3"/>
      <c r="BR94" s="3"/>
    </row>
    <row r="95" spans="2:70" customFormat="1" x14ac:dyDescent="0.3">
      <c r="B95" s="6"/>
      <c r="C95" s="6"/>
      <c r="D95" s="6"/>
      <c r="E95" s="3"/>
      <c r="F95" s="23"/>
      <c r="G95" s="3"/>
      <c r="H95" s="3"/>
      <c r="M95" s="11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7"/>
      <c r="AE95" s="7"/>
      <c r="AF95" s="7"/>
      <c r="AG95" s="7"/>
      <c r="AH95" s="3"/>
      <c r="AI95" s="3"/>
      <c r="AJ95" s="3"/>
      <c r="AK95" s="3"/>
      <c r="AL95" s="7"/>
      <c r="AM95" s="22"/>
      <c r="AN95" s="22"/>
      <c r="AO95" s="22"/>
      <c r="AP95" s="3"/>
      <c r="AQ95" s="3"/>
      <c r="AR95" s="3"/>
      <c r="AS95" s="3"/>
      <c r="AT95" s="7"/>
      <c r="AU95" s="24"/>
      <c r="AV95" s="24"/>
      <c r="AW95" s="24"/>
      <c r="AX95" s="3"/>
      <c r="AY95" s="3"/>
      <c r="AZ95" s="3"/>
      <c r="BA95" s="3"/>
      <c r="BB95" s="3"/>
      <c r="BC95" s="24"/>
      <c r="BD95" s="24"/>
      <c r="BE95" s="24"/>
      <c r="BF95" s="3"/>
      <c r="BG95" s="3"/>
      <c r="BH95" s="3"/>
      <c r="BI95" s="3"/>
      <c r="BJ95" s="3"/>
      <c r="BK95" s="3"/>
      <c r="BR95" s="3"/>
    </row>
    <row r="96" spans="2:70" customFormat="1" x14ac:dyDescent="0.3">
      <c r="B96" s="6"/>
      <c r="C96" s="6"/>
      <c r="D96" s="6"/>
      <c r="E96" s="3"/>
      <c r="F96" s="23"/>
      <c r="G96" s="3"/>
      <c r="H96" s="3"/>
      <c r="M96" s="11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7"/>
      <c r="AE96" s="7"/>
      <c r="AF96" s="7"/>
      <c r="AG96" s="7"/>
      <c r="AH96" s="3"/>
      <c r="AI96" s="3"/>
      <c r="AJ96" s="3"/>
      <c r="AK96" s="3"/>
      <c r="AL96" s="7"/>
      <c r="AM96" s="22"/>
      <c r="AN96" s="22"/>
      <c r="AO96" s="22"/>
      <c r="AP96" s="3"/>
      <c r="AQ96" s="3"/>
      <c r="AR96" s="3"/>
      <c r="AS96" s="3"/>
      <c r="AT96" s="7"/>
      <c r="AU96" s="24"/>
      <c r="AV96" s="24"/>
      <c r="AW96" s="24"/>
      <c r="AX96" s="3"/>
      <c r="AY96" s="3"/>
      <c r="AZ96" s="3"/>
      <c r="BA96" s="3"/>
      <c r="BB96" s="3"/>
      <c r="BC96" s="24"/>
      <c r="BD96" s="24"/>
      <c r="BE96" s="24"/>
      <c r="BF96" s="3"/>
      <c r="BG96" s="3"/>
      <c r="BH96" s="3"/>
      <c r="BI96" s="3"/>
      <c r="BJ96" s="3"/>
      <c r="BK96" s="3"/>
      <c r="BR96" s="3"/>
    </row>
    <row r="97" spans="2:70" customFormat="1" x14ac:dyDescent="0.3">
      <c r="B97" s="6"/>
      <c r="C97" s="6"/>
      <c r="D97" s="6"/>
      <c r="E97" s="3"/>
      <c r="F97" s="23"/>
      <c r="G97" s="3"/>
      <c r="H97" s="3"/>
      <c r="M97" s="11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7"/>
      <c r="AE97" s="7"/>
      <c r="AF97" s="7"/>
      <c r="AG97" s="7"/>
      <c r="AH97" s="3"/>
      <c r="AI97" s="3"/>
      <c r="AJ97" s="3"/>
      <c r="AK97" s="3"/>
      <c r="AL97" s="7"/>
      <c r="AM97" s="22"/>
      <c r="AN97" s="22"/>
      <c r="AO97" s="22"/>
      <c r="AP97" s="3"/>
      <c r="AQ97" s="3"/>
      <c r="AR97" s="3"/>
      <c r="AS97" s="3"/>
      <c r="AT97" s="7"/>
      <c r="AU97" s="24"/>
      <c r="AV97" s="24"/>
      <c r="AW97" s="24"/>
      <c r="AX97" s="3"/>
      <c r="AY97" s="3"/>
      <c r="AZ97" s="3"/>
      <c r="BA97" s="3"/>
      <c r="BB97" s="3"/>
      <c r="BC97" s="24"/>
      <c r="BD97" s="24"/>
      <c r="BE97" s="24"/>
      <c r="BF97" s="3"/>
      <c r="BG97" s="3"/>
      <c r="BH97" s="3"/>
      <c r="BI97" s="3"/>
      <c r="BJ97" s="3"/>
      <c r="BK97" s="3"/>
      <c r="BR97" s="3"/>
    </row>
    <row r="98" spans="2:70" customFormat="1" x14ac:dyDescent="0.3">
      <c r="B98" s="6"/>
      <c r="C98" s="6"/>
      <c r="D98" s="6"/>
      <c r="E98" s="3"/>
      <c r="F98" s="23"/>
      <c r="G98" s="3"/>
      <c r="H98" s="3"/>
      <c r="M98" s="11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7"/>
      <c r="AE98" s="7"/>
      <c r="AF98" s="7"/>
      <c r="AG98" s="7"/>
      <c r="AH98" s="3"/>
      <c r="AI98" s="3"/>
      <c r="AJ98" s="3"/>
      <c r="AK98" s="3"/>
      <c r="AL98" s="7"/>
      <c r="AM98" s="22"/>
      <c r="AN98" s="22"/>
      <c r="AO98" s="22"/>
      <c r="AP98" s="3"/>
      <c r="AQ98" s="3"/>
      <c r="AR98" s="3"/>
      <c r="AS98" s="3"/>
      <c r="AT98" s="7"/>
      <c r="AU98" s="24"/>
      <c r="AV98" s="24"/>
      <c r="AW98" s="24"/>
      <c r="AX98" s="3"/>
      <c r="AY98" s="3"/>
      <c r="AZ98" s="3"/>
      <c r="BA98" s="3"/>
      <c r="BB98" s="3"/>
      <c r="BC98" s="24"/>
      <c r="BD98" s="24"/>
      <c r="BE98" s="24"/>
      <c r="BF98" s="3"/>
      <c r="BG98" s="3"/>
      <c r="BH98" s="3"/>
      <c r="BI98" s="3"/>
      <c r="BJ98" s="3"/>
      <c r="BK98" s="3"/>
      <c r="BR98" s="3"/>
    </row>
    <row r="99" spans="2:70" customFormat="1" x14ac:dyDescent="0.3">
      <c r="B99" s="6"/>
      <c r="C99" s="6"/>
      <c r="D99" s="6"/>
      <c r="E99" s="3"/>
      <c r="F99" s="23"/>
      <c r="G99" s="3"/>
      <c r="H99" s="3"/>
      <c r="M99" s="11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7"/>
      <c r="AE99" s="7"/>
      <c r="AF99" s="7"/>
      <c r="AG99" s="7"/>
      <c r="AH99" s="3"/>
      <c r="AI99" s="3"/>
      <c r="AJ99" s="3"/>
      <c r="AK99" s="3"/>
      <c r="AL99" s="7"/>
      <c r="AM99" s="22"/>
      <c r="AN99" s="22"/>
      <c r="AO99" s="22"/>
      <c r="AP99" s="3"/>
      <c r="AQ99" s="3"/>
      <c r="AR99" s="3"/>
      <c r="AS99" s="3"/>
      <c r="AT99" s="7"/>
      <c r="AU99" s="24"/>
      <c r="AV99" s="24"/>
      <c r="AW99" s="24"/>
      <c r="AX99" s="3"/>
      <c r="AY99" s="3"/>
      <c r="AZ99" s="3"/>
      <c r="BA99" s="3"/>
      <c r="BB99" s="3"/>
      <c r="BC99" s="24"/>
      <c r="BD99" s="24"/>
      <c r="BE99" s="24"/>
      <c r="BF99" s="3"/>
      <c r="BG99" s="3"/>
      <c r="BH99" s="3"/>
      <c r="BI99" s="3"/>
      <c r="BJ99" s="3"/>
      <c r="BK99" s="3"/>
      <c r="BR99" s="3"/>
    </row>
    <row r="100" spans="2:70" customFormat="1" x14ac:dyDescent="0.3">
      <c r="B100" s="6"/>
      <c r="C100" s="6"/>
      <c r="D100" s="6"/>
      <c r="E100" s="3"/>
      <c r="F100" s="23"/>
      <c r="G100" s="3"/>
      <c r="H100" s="3"/>
      <c r="M100" s="11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7"/>
      <c r="AE100" s="7"/>
      <c r="AF100" s="7"/>
      <c r="AG100" s="7"/>
      <c r="AH100" s="3"/>
      <c r="AI100" s="3"/>
      <c r="AJ100" s="3"/>
      <c r="AK100" s="3"/>
      <c r="AL100" s="7"/>
      <c r="AM100" s="22"/>
      <c r="AN100" s="22"/>
      <c r="AO100" s="22"/>
      <c r="AP100" s="3"/>
      <c r="AQ100" s="3"/>
      <c r="AR100" s="3"/>
      <c r="AS100" s="3"/>
      <c r="AT100" s="7"/>
      <c r="AU100" s="24"/>
      <c r="AV100" s="24"/>
      <c r="AW100" s="24"/>
      <c r="AX100" s="3"/>
      <c r="AY100" s="3"/>
      <c r="AZ100" s="3"/>
      <c r="BA100" s="3"/>
      <c r="BB100" s="3"/>
      <c r="BC100" s="24"/>
      <c r="BD100" s="24"/>
      <c r="BE100" s="24"/>
      <c r="BF100" s="3"/>
      <c r="BG100" s="3"/>
      <c r="BH100" s="3"/>
      <c r="BI100" s="3"/>
      <c r="BJ100" s="3"/>
      <c r="BK100" s="3"/>
      <c r="BR100" s="3"/>
    </row>
    <row r="101" spans="2:70" customFormat="1" x14ac:dyDescent="0.3">
      <c r="B101" s="6"/>
      <c r="C101" s="6"/>
      <c r="D101" s="6"/>
      <c r="E101" s="3"/>
      <c r="F101" s="23"/>
      <c r="G101" s="3"/>
      <c r="H101" s="3"/>
      <c r="M101" s="11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7"/>
      <c r="AE101" s="7"/>
      <c r="AF101" s="7"/>
      <c r="AG101" s="7"/>
      <c r="AH101" s="3"/>
      <c r="AI101" s="3"/>
      <c r="AJ101" s="3"/>
      <c r="AK101" s="3"/>
      <c r="AL101" s="7"/>
      <c r="AM101" s="22"/>
      <c r="AN101" s="22"/>
      <c r="AO101" s="22"/>
      <c r="AP101" s="3"/>
      <c r="AQ101" s="3"/>
      <c r="AR101" s="3"/>
      <c r="AS101" s="3"/>
      <c r="AT101" s="7"/>
      <c r="AU101" s="24"/>
      <c r="AV101" s="24"/>
      <c r="AW101" s="24"/>
      <c r="AX101" s="3"/>
      <c r="AY101" s="3"/>
      <c r="AZ101" s="3"/>
      <c r="BA101" s="3"/>
      <c r="BB101" s="3"/>
      <c r="BC101" s="24"/>
      <c r="BD101" s="24"/>
      <c r="BE101" s="24"/>
      <c r="BF101" s="3"/>
      <c r="BG101" s="3"/>
      <c r="BH101" s="3"/>
      <c r="BI101" s="3"/>
      <c r="BJ101" s="3"/>
      <c r="BK101" s="3"/>
      <c r="BR101" s="3"/>
    </row>
    <row r="102" spans="2:70" customFormat="1" x14ac:dyDescent="0.3">
      <c r="B102" s="6"/>
      <c r="C102" s="6"/>
      <c r="D102" s="6"/>
      <c r="E102" s="3"/>
      <c r="F102" s="23"/>
      <c r="G102" s="3"/>
      <c r="H102" s="3"/>
      <c r="M102" s="11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7"/>
      <c r="AE102" s="7"/>
      <c r="AF102" s="7"/>
      <c r="AG102" s="7"/>
      <c r="AH102" s="3"/>
      <c r="AI102" s="3"/>
      <c r="AJ102" s="3"/>
      <c r="AK102" s="3"/>
      <c r="AL102" s="7"/>
      <c r="AM102" s="22"/>
      <c r="AN102" s="22"/>
      <c r="AO102" s="22"/>
      <c r="AP102" s="3"/>
      <c r="AQ102" s="3"/>
      <c r="AR102" s="3"/>
      <c r="AS102" s="3"/>
      <c r="AT102" s="7"/>
      <c r="AU102" s="24"/>
      <c r="AV102" s="24"/>
      <c r="AW102" s="24"/>
      <c r="AX102" s="3"/>
      <c r="AY102" s="3"/>
      <c r="AZ102" s="3"/>
      <c r="BA102" s="3"/>
      <c r="BB102" s="3"/>
      <c r="BC102" s="24"/>
      <c r="BD102" s="24"/>
      <c r="BE102" s="24"/>
      <c r="BF102" s="3"/>
      <c r="BG102" s="3"/>
      <c r="BH102" s="3"/>
      <c r="BI102" s="3"/>
      <c r="BJ102" s="3"/>
      <c r="BK102" s="3"/>
      <c r="BR102" s="3"/>
    </row>
    <row r="103" spans="2:70" customFormat="1" x14ac:dyDescent="0.3">
      <c r="B103" s="6"/>
      <c r="C103" s="6"/>
      <c r="D103" s="6"/>
      <c r="E103" s="3"/>
      <c r="F103" s="23"/>
      <c r="G103" s="3"/>
      <c r="H103" s="3"/>
      <c r="M103" s="11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7"/>
      <c r="AE103" s="7"/>
      <c r="AF103" s="7"/>
      <c r="AG103" s="7"/>
      <c r="AH103" s="3"/>
      <c r="AI103" s="3"/>
      <c r="AJ103" s="3"/>
      <c r="AK103" s="3"/>
      <c r="AL103" s="7"/>
      <c r="AM103" s="22"/>
      <c r="AN103" s="22"/>
      <c r="AO103" s="22"/>
      <c r="AP103" s="3"/>
      <c r="AQ103" s="3"/>
      <c r="AR103" s="3"/>
      <c r="AS103" s="3"/>
      <c r="AT103" s="7"/>
      <c r="AU103" s="24"/>
      <c r="AV103" s="24"/>
      <c r="AW103" s="24"/>
      <c r="AX103" s="3"/>
      <c r="AY103" s="3"/>
      <c r="AZ103" s="3"/>
      <c r="BA103" s="3"/>
      <c r="BB103" s="3"/>
      <c r="BC103" s="24"/>
      <c r="BD103" s="24"/>
      <c r="BE103" s="24"/>
      <c r="BF103" s="3"/>
      <c r="BG103" s="3"/>
      <c r="BH103" s="3"/>
      <c r="BI103" s="3"/>
      <c r="BJ103" s="3"/>
      <c r="BK103" s="3"/>
      <c r="BR103" s="3"/>
    </row>
    <row r="104" spans="2:70" customFormat="1" x14ac:dyDescent="0.3">
      <c r="B104" s="6"/>
      <c r="C104" s="6"/>
      <c r="D104" s="6"/>
      <c r="E104" s="3"/>
      <c r="F104" s="23"/>
      <c r="G104" s="3"/>
      <c r="H104" s="3"/>
      <c r="M104" s="11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7"/>
      <c r="AE104" s="7"/>
      <c r="AF104" s="7"/>
      <c r="AG104" s="7"/>
      <c r="AH104" s="3"/>
      <c r="AI104" s="3"/>
      <c r="AJ104" s="3"/>
      <c r="AK104" s="3"/>
      <c r="AL104" s="7"/>
      <c r="AM104" s="22"/>
      <c r="AN104" s="22"/>
      <c r="AO104" s="22"/>
      <c r="AP104" s="3"/>
      <c r="AQ104" s="3"/>
      <c r="AR104" s="3"/>
      <c r="AS104" s="3"/>
      <c r="AT104" s="7"/>
      <c r="AU104" s="24"/>
      <c r="AV104" s="24"/>
      <c r="AW104" s="24"/>
      <c r="AX104" s="3"/>
      <c r="AY104" s="3"/>
      <c r="AZ104" s="3"/>
      <c r="BA104" s="3"/>
      <c r="BB104" s="3"/>
      <c r="BC104" s="24"/>
      <c r="BD104" s="24"/>
      <c r="BE104" s="24"/>
      <c r="BF104" s="3"/>
      <c r="BG104" s="3"/>
      <c r="BH104" s="3"/>
      <c r="BI104" s="3"/>
      <c r="BJ104" s="3"/>
      <c r="BK104" s="3"/>
      <c r="BR104" s="3"/>
    </row>
    <row r="105" spans="2:70" customFormat="1" x14ac:dyDescent="0.3">
      <c r="B105" s="6"/>
      <c r="C105" s="6"/>
      <c r="D105" s="6"/>
      <c r="E105" s="3"/>
      <c r="F105" s="23"/>
      <c r="G105" s="3"/>
      <c r="H105" s="3"/>
      <c r="M105" s="11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7"/>
      <c r="AE105" s="7"/>
      <c r="AF105" s="7"/>
      <c r="AG105" s="7"/>
      <c r="AH105" s="3"/>
      <c r="AI105" s="3"/>
      <c r="AJ105" s="3"/>
      <c r="AK105" s="3"/>
      <c r="AL105" s="7"/>
      <c r="AM105" s="22"/>
      <c r="AN105" s="22"/>
      <c r="AO105" s="22"/>
      <c r="AP105" s="3"/>
      <c r="AQ105" s="3"/>
      <c r="AR105" s="3"/>
      <c r="AS105" s="3"/>
      <c r="AT105" s="7"/>
      <c r="AU105" s="24"/>
      <c r="AV105" s="24"/>
      <c r="AW105" s="24"/>
      <c r="AX105" s="3"/>
      <c r="AY105" s="3"/>
      <c r="AZ105" s="3"/>
      <c r="BA105" s="3"/>
      <c r="BB105" s="3"/>
      <c r="BC105" s="24"/>
      <c r="BD105" s="24"/>
      <c r="BE105" s="24"/>
      <c r="BF105" s="3"/>
      <c r="BG105" s="3"/>
      <c r="BH105" s="3"/>
      <c r="BI105" s="3"/>
      <c r="BJ105" s="3"/>
      <c r="BK105" s="3"/>
      <c r="BR105" s="3"/>
    </row>
    <row r="106" spans="2:70" customFormat="1" x14ac:dyDescent="0.3">
      <c r="B106" s="6"/>
      <c r="C106" s="6"/>
      <c r="D106" s="6"/>
      <c r="E106" s="3"/>
      <c r="F106" s="23"/>
      <c r="G106" s="3"/>
      <c r="H106" s="3"/>
      <c r="M106" s="11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7"/>
      <c r="AE106" s="7"/>
      <c r="AF106" s="7"/>
      <c r="AG106" s="7"/>
      <c r="AH106" s="3"/>
      <c r="AI106" s="3"/>
      <c r="AJ106" s="3"/>
      <c r="AK106" s="3"/>
      <c r="AL106" s="7"/>
      <c r="AM106" s="22"/>
      <c r="AN106" s="22"/>
      <c r="AO106" s="22"/>
      <c r="AP106" s="3"/>
      <c r="AQ106" s="3"/>
      <c r="AR106" s="3"/>
      <c r="AS106" s="3"/>
      <c r="AT106" s="7"/>
      <c r="AU106" s="24"/>
      <c r="AV106" s="24"/>
      <c r="AW106" s="24"/>
      <c r="AX106" s="3"/>
      <c r="AY106" s="3"/>
      <c r="AZ106" s="3"/>
      <c r="BA106" s="3"/>
      <c r="BB106" s="3"/>
      <c r="BC106" s="24"/>
      <c r="BD106" s="24"/>
      <c r="BE106" s="24"/>
      <c r="BF106" s="3"/>
      <c r="BG106" s="3"/>
      <c r="BH106" s="3"/>
      <c r="BI106" s="3"/>
      <c r="BJ106" s="3"/>
      <c r="BK106" s="3"/>
      <c r="BR106" s="3"/>
    </row>
    <row r="107" spans="2:70" customFormat="1" x14ac:dyDescent="0.3">
      <c r="B107" s="6"/>
      <c r="C107" s="6"/>
      <c r="D107" s="6"/>
      <c r="E107" s="3"/>
      <c r="F107" s="23"/>
      <c r="G107" s="3"/>
      <c r="H107" s="3"/>
      <c r="M107" s="11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7"/>
      <c r="AE107" s="7"/>
      <c r="AF107" s="7"/>
      <c r="AG107" s="7"/>
      <c r="AH107" s="3"/>
      <c r="AI107" s="3"/>
      <c r="AJ107" s="3"/>
      <c r="AK107" s="3"/>
      <c r="AL107" s="7"/>
      <c r="AM107" s="22"/>
      <c r="AN107" s="22"/>
      <c r="AO107" s="22"/>
      <c r="AP107" s="3"/>
      <c r="AQ107" s="3"/>
      <c r="AR107" s="3"/>
      <c r="AS107" s="3"/>
      <c r="AT107" s="7"/>
      <c r="AU107" s="24"/>
      <c r="AV107" s="24"/>
      <c r="AW107" s="24"/>
      <c r="AX107" s="3"/>
      <c r="AY107" s="3"/>
      <c r="AZ107" s="3"/>
      <c r="BA107" s="3"/>
      <c r="BB107" s="3"/>
      <c r="BC107" s="24"/>
      <c r="BD107" s="24"/>
      <c r="BE107" s="24"/>
      <c r="BF107" s="3"/>
      <c r="BG107" s="3"/>
      <c r="BH107" s="3"/>
      <c r="BI107" s="3"/>
      <c r="BJ107" s="3"/>
      <c r="BK107" s="3"/>
      <c r="BR107" s="3"/>
    </row>
    <row r="108" spans="2:70" customFormat="1" x14ac:dyDescent="0.3">
      <c r="B108" s="6"/>
      <c r="C108" s="6"/>
      <c r="D108" s="6"/>
      <c r="E108" s="3"/>
      <c r="F108" s="23"/>
      <c r="G108" s="3"/>
      <c r="H108" s="3"/>
      <c r="M108" s="11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7"/>
      <c r="AE108" s="7"/>
      <c r="AF108" s="7"/>
      <c r="AG108" s="7"/>
      <c r="AH108" s="3"/>
      <c r="AI108" s="3"/>
      <c r="AJ108" s="3"/>
      <c r="AK108" s="3"/>
      <c r="AL108" s="7"/>
      <c r="AM108" s="22"/>
      <c r="AN108" s="22"/>
      <c r="AO108" s="22"/>
      <c r="AP108" s="3"/>
      <c r="AQ108" s="3"/>
      <c r="AR108" s="3"/>
      <c r="AS108" s="3"/>
      <c r="AT108" s="7"/>
      <c r="AU108" s="24"/>
      <c r="AV108" s="24"/>
      <c r="AW108" s="24"/>
      <c r="AX108" s="3"/>
      <c r="AY108" s="3"/>
      <c r="AZ108" s="3"/>
      <c r="BA108" s="3"/>
      <c r="BB108" s="3"/>
      <c r="BC108" s="24"/>
      <c r="BD108" s="24"/>
      <c r="BE108" s="24"/>
      <c r="BF108" s="3"/>
      <c r="BG108" s="3"/>
      <c r="BH108" s="3"/>
      <c r="BI108" s="3"/>
      <c r="BJ108" s="3"/>
      <c r="BK108" s="3"/>
      <c r="BR108" s="3"/>
    </row>
    <row r="109" spans="2:70" customFormat="1" x14ac:dyDescent="0.3">
      <c r="B109" s="6"/>
      <c r="C109" s="6"/>
      <c r="D109" s="6"/>
      <c r="E109" s="3"/>
      <c r="F109" s="23"/>
      <c r="G109" s="3"/>
      <c r="H109" s="3"/>
      <c r="M109" s="11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7"/>
      <c r="AE109" s="7"/>
      <c r="AF109" s="7"/>
      <c r="AG109" s="7"/>
      <c r="AH109" s="3"/>
      <c r="AI109" s="3"/>
      <c r="AJ109" s="3"/>
      <c r="AK109" s="3"/>
      <c r="AL109" s="7"/>
      <c r="AM109" s="22"/>
      <c r="AN109" s="22"/>
      <c r="AO109" s="22"/>
      <c r="AP109" s="3"/>
      <c r="AQ109" s="3"/>
      <c r="AR109" s="3"/>
      <c r="AS109" s="3"/>
      <c r="AT109" s="7"/>
      <c r="AU109" s="24"/>
      <c r="AV109" s="24"/>
      <c r="AW109" s="24"/>
      <c r="AX109" s="3"/>
      <c r="AY109" s="3"/>
      <c r="AZ109" s="3"/>
      <c r="BA109" s="3"/>
      <c r="BB109" s="3"/>
      <c r="BC109" s="24"/>
      <c r="BD109" s="24"/>
      <c r="BE109" s="24"/>
      <c r="BF109" s="3"/>
      <c r="BG109" s="3"/>
      <c r="BH109" s="3"/>
      <c r="BI109" s="3"/>
      <c r="BJ109" s="3"/>
      <c r="BK109" s="3"/>
      <c r="BR109" s="3"/>
    </row>
    <row r="110" spans="2:70" customFormat="1" x14ac:dyDescent="0.3">
      <c r="B110" s="6"/>
      <c r="C110" s="6"/>
      <c r="D110" s="6"/>
      <c r="E110" s="3"/>
      <c r="F110" s="23"/>
      <c r="G110" s="3"/>
      <c r="H110" s="3"/>
      <c r="M110" s="11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7"/>
      <c r="AE110" s="7"/>
      <c r="AF110" s="7"/>
      <c r="AG110" s="7"/>
      <c r="AH110" s="3"/>
      <c r="AI110" s="3"/>
      <c r="AJ110" s="3"/>
      <c r="AK110" s="3"/>
      <c r="AL110" s="7"/>
      <c r="AM110" s="22"/>
      <c r="AN110" s="22"/>
      <c r="AO110" s="22"/>
      <c r="AP110" s="3"/>
      <c r="AQ110" s="3"/>
      <c r="AR110" s="3"/>
      <c r="AS110" s="3"/>
      <c r="AT110" s="7"/>
      <c r="AU110" s="24"/>
      <c r="AV110" s="24"/>
      <c r="AW110" s="24"/>
      <c r="AX110" s="3"/>
      <c r="AY110" s="3"/>
      <c r="AZ110" s="3"/>
      <c r="BA110" s="3"/>
      <c r="BB110" s="3"/>
      <c r="BC110" s="24"/>
      <c r="BD110" s="24"/>
      <c r="BE110" s="24"/>
      <c r="BF110" s="3"/>
      <c r="BG110" s="3"/>
      <c r="BH110" s="3"/>
      <c r="BI110" s="3"/>
      <c r="BJ110" s="3"/>
      <c r="BK110" s="3"/>
      <c r="BR110" s="3"/>
    </row>
    <row r="111" spans="2:70" customFormat="1" x14ac:dyDescent="0.3">
      <c r="B111" s="6"/>
      <c r="C111" s="6"/>
      <c r="D111" s="6"/>
      <c r="E111" s="3"/>
      <c r="F111" s="23"/>
      <c r="G111" s="3"/>
      <c r="H111" s="3"/>
      <c r="M111" s="11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7"/>
      <c r="AE111" s="7"/>
      <c r="AF111" s="7"/>
      <c r="AG111" s="7"/>
      <c r="AH111" s="3"/>
      <c r="AI111" s="3"/>
      <c r="AJ111" s="3"/>
      <c r="AK111" s="3"/>
      <c r="AL111" s="7"/>
      <c r="AM111" s="22"/>
      <c r="AN111" s="22"/>
      <c r="AO111" s="22"/>
      <c r="AP111" s="3"/>
      <c r="AQ111" s="3"/>
      <c r="AR111" s="3"/>
      <c r="AS111" s="3"/>
      <c r="AT111" s="7"/>
      <c r="AU111" s="24"/>
      <c r="AV111" s="24"/>
      <c r="AW111" s="24"/>
      <c r="AX111" s="3"/>
      <c r="AY111" s="3"/>
      <c r="AZ111" s="3"/>
      <c r="BA111" s="3"/>
      <c r="BB111" s="3"/>
      <c r="BC111" s="24"/>
      <c r="BD111" s="24"/>
      <c r="BE111" s="24"/>
      <c r="BF111" s="3"/>
      <c r="BG111" s="3"/>
      <c r="BH111" s="3"/>
      <c r="BI111" s="3"/>
      <c r="BJ111" s="3"/>
      <c r="BK111" s="3"/>
      <c r="BR111" s="3"/>
    </row>
    <row r="112" spans="2:70" customFormat="1" x14ac:dyDescent="0.3">
      <c r="B112" s="6"/>
      <c r="C112" s="6"/>
      <c r="D112" s="6"/>
      <c r="E112" s="3"/>
      <c r="F112" s="23"/>
      <c r="G112" s="3"/>
      <c r="H112" s="3"/>
      <c r="M112" s="11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7"/>
      <c r="AE112" s="7"/>
      <c r="AF112" s="7"/>
      <c r="AG112" s="7"/>
      <c r="AH112" s="3"/>
      <c r="AI112" s="3"/>
      <c r="AJ112" s="3"/>
      <c r="AK112" s="3"/>
      <c r="AL112" s="7"/>
      <c r="AM112" s="22"/>
      <c r="AN112" s="22"/>
      <c r="AO112" s="22"/>
      <c r="AP112" s="3"/>
      <c r="AQ112" s="3"/>
      <c r="AR112" s="3"/>
      <c r="AS112" s="3"/>
      <c r="AT112" s="7"/>
      <c r="AU112" s="24"/>
      <c r="AV112" s="24"/>
      <c r="AW112" s="24"/>
      <c r="AX112" s="3"/>
      <c r="AY112" s="3"/>
      <c r="AZ112" s="3"/>
      <c r="BA112" s="3"/>
      <c r="BB112" s="3"/>
      <c r="BC112" s="24"/>
      <c r="BD112" s="24"/>
      <c r="BE112" s="24"/>
      <c r="BF112" s="3"/>
      <c r="BG112" s="3"/>
      <c r="BH112" s="3"/>
      <c r="BI112" s="3"/>
      <c r="BJ112" s="3"/>
      <c r="BK112" s="3"/>
      <c r="BR112" s="3"/>
    </row>
    <row r="113" spans="2:70" customFormat="1" x14ac:dyDescent="0.3">
      <c r="B113" s="6"/>
      <c r="C113" s="6"/>
      <c r="D113" s="6"/>
      <c r="E113" s="3"/>
      <c r="F113" s="23"/>
      <c r="G113" s="3"/>
      <c r="H113" s="3"/>
      <c r="M113" s="11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7"/>
      <c r="AE113" s="7"/>
      <c r="AF113" s="7"/>
      <c r="AG113" s="7"/>
      <c r="AH113" s="3"/>
      <c r="AI113" s="3"/>
      <c r="AJ113" s="3"/>
      <c r="AK113" s="3"/>
      <c r="AL113" s="7"/>
      <c r="AM113" s="22"/>
      <c r="AN113" s="22"/>
      <c r="AO113" s="22"/>
      <c r="AP113" s="3"/>
      <c r="AQ113" s="3"/>
      <c r="AR113" s="3"/>
      <c r="AS113" s="3"/>
      <c r="AT113" s="7"/>
      <c r="AU113" s="24"/>
      <c r="AV113" s="24"/>
      <c r="AW113" s="24"/>
      <c r="AX113" s="3"/>
      <c r="AY113" s="3"/>
      <c r="AZ113" s="3"/>
      <c r="BA113" s="3"/>
      <c r="BB113" s="3"/>
      <c r="BC113" s="24"/>
      <c r="BD113" s="24"/>
      <c r="BE113" s="24"/>
      <c r="BF113" s="3"/>
      <c r="BG113" s="3"/>
      <c r="BH113" s="3"/>
      <c r="BI113" s="3"/>
      <c r="BJ113" s="3"/>
      <c r="BK113" s="3"/>
      <c r="BR113" s="3"/>
    </row>
    <row r="114" spans="2:70" customFormat="1" x14ac:dyDescent="0.3">
      <c r="B114" s="6"/>
      <c r="C114" s="6"/>
      <c r="D114" s="6"/>
      <c r="E114" s="3"/>
      <c r="F114" s="23"/>
      <c r="G114" s="3"/>
      <c r="H114" s="3"/>
      <c r="M114" s="11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7"/>
      <c r="AE114" s="7"/>
      <c r="AF114" s="7"/>
      <c r="AG114" s="7"/>
      <c r="AH114" s="3"/>
      <c r="AI114" s="3"/>
      <c r="AJ114" s="3"/>
      <c r="AK114" s="3"/>
      <c r="AL114" s="7"/>
      <c r="AM114" s="22"/>
      <c r="AN114" s="22"/>
      <c r="AO114" s="22"/>
      <c r="AP114" s="3"/>
      <c r="AQ114" s="3"/>
      <c r="AR114" s="3"/>
      <c r="AS114" s="3"/>
      <c r="AT114" s="7"/>
      <c r="AU114" s="24"/>
      <c r="AV114" s="24"/>
      <c r="AW114" s="24"/>
      <c r="AX114" s="3"/>
      <c r="AY114" s="3"/>
      <c r="AZ114" s="3"/>
      <c r="BA114" s="3"/>
      <c r="BB114" s="3"/>
      <c r="BC114" s="24"/>
      <c r="BD114" s="24"/>
      <c r="BE114" s="24"/>
      <c r="BF114" s="3"/>
      <c r="BG114" s="3"/>
      <c r="BH114" s="3"/>
      <c r="BI114" s="3"/>
      <c r="BJ114" s="3"/>
      <c r="BK114" s="3"/>
      <c r="BR114" s="3"/>
    </row>
    <row r="115" spans="2:70" customFormat="1" x14ac:dyDescent="0.3">
      <c r="B115" s="6"/>
      <c r="C115" s="6"/>
      <c r="D115" s="6"/>
      <c r="E115" s="3"/>
      <c r="F115" s="23"/>
      <c r="G115" s="3"/>
      <c r="H115" s="3"/>
      <c r="M115" s="11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7"/>
      <c r="AE115" s="7"/>
      <c r="AF115" s="7"/>
      <c r="AG115" s="7"/>
      <c r="AH115" s="3"/>
      <c r="AI115" s="3"/>
      <c r="AJ115" s="3"/>
      <c r="AK115" s="3"/>
      <c r="AL115" s="7"/>
      <c r="AM115" s="22"/>
      <c r="AN115" s="22"/>
      <c r="AO115" s="22"/>
      <c r="AP115" s="3"/>
      <c r="AQ115" s="3"/>
      <c r="AR115" s="3"/>
      <c r="AS115" s="3"/>
      <c r="AT115" s="7"/>
      <c r="AU115" s="24"/>
      <c r="AV115" s="24"/>
      <c r="AW115" s="24"/>
      <c r="AX115" s="3"/>
      <c r="AY115" s="3"/>
      <c r="AZ115" s="3"/>
      <c r="BA115" s="3"/>
      <c r="BB115" s="3"/>
      <c r="BC115" s="24"/>
      <c r="BD115" s="24"/>
      <c r="BE115" s="24"/>
      <c r="BF115" s="3"/>
      <c r="BG115" s="3"/>
      <c r="BH115" s="3"/>
      <c r="BI115" s="3"/>
      <c r="BJ115" s="3"/>
      <c r="BK115" s="3"/>
      <c r="BR115" s="3"/>
    </row>
    <row r="116" spans="2:70" customFormat="1" x14ac:dyDescent="0.3">
      <c r="B116" s="6"/>
      <c r="C116" s="6"/>
      <c r="D116" s="6"/>
      <c r="E116" s="3"/>
      <c r="F116" s="23"/>
      <c r="G116" s="3"/>
      <c r="H116" s="3"/>
      <c r="M116" s="11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7"/>
      <c r="AE116" s="7"/>
      <c r="AF116" s="7"/>
      <c r="AG116" s="7"/>
      <c r="AH116" s="3"/>
      <c r="AI116" s="3"/>
      <c r="AJ116" s="3"/>
      <c r="AK116" s="3"/>
      <c r="AL116" s="7"/>
      <c r="AM116" s="22"/>
      <c r="AN116" s="22"/>
      <c r="AO116" s="22"/>
      <c r="AP116" s="3"/>
      <c r="AQ116" s="3"/>
      <c r="AR116" s="3"/>
      <c r="AS116" s="3"/>
      <c r="AT116" s="7"/>
      <c r="AU116" s="24"/>
      <c r="AV116" s="24"/>
      <c r="AW116" s="24"/>
      <c r="AX116" s="3"/>
      <c r="AY116" s="3"/>
      <c r="AZ116" s="3"/>
      <c r="BA116" s="3"/>
      <c r="BB116" s="3"/>
      <c r="BC116" s="24"/>
      <c r="BD116" s="24"/>
      <c r="BE116" s="24"/>
      <c r="BF116" s="3"/>
      <c r="BG116" s="3"/>
      <c r="BH116" s="3"/>
      <c r="BI116" s="3"/>
      <c r="BJ116" s="3"/>
      <c r="BK116" s="3"/>
      <c r="BR116" s="3"/>
    </row>
    <row r="117" spans="2:70" customFormat="1" x14ac:dyDescent="0.3">
      <c r="B117" s="6"/>
      <c r="C117" s="6"/>
      <c r="D117" s="6"/>
      <c r="E117" s="3"/>
      <c r="F117" s="23"/>
      <c r="G117" s="3"/>
      <c r="H117" s="3"/>
      <c r="M117" s="11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7"/>
      <c r="AE117" s="7"/>
      <c r="AF117" s="7"/>
      <c r="AG117" s="7"/>
      <c r="AH117" s="3"/>
      <c r="AI117" s="3"/>
      <c r="AJ117" s="3"/>
      <c r="AK117" s="3"/>
      <c r="AL117" s="7"/>
      <c r="AM117" s="22"/>
      <c r="AN117" s="22"/>
      <c r="AO117" s="22"/>
      <c r="AP117" s="3"/>
      <c r="AQ117" s="3"/>
      <c r="AR117" s="3"/>
      <c r="AS117" s="3"/>
      <c r="AT117" s="7"/>
      <c r="AU117" s="24"/>
      <c r="AV117" s="24"/>
      <c r="AW117" s="24"/>
      <c r="AX117" s="3"/>
      <c r="AY117" s="3"/>
      <c r="AZ117" s="3"/>
      <c r="BA117" s="3"/>
      <c r="BB117" s="3"/>
      <c r="BC117" s="24"/>
      <c r="BD117" s="24"/>
      <c r="BE117" s="24"/>
      <c r="BF117" s="3"/>
      <c r="BG117" s="3"/>
      <c r="BH117" s="3"/>
      <c r="BI117" s="3"/>
      <c r="BJ117" s="3"/>
      <c r="BK117" s="3"/>
      <c r="BR117" s="3"/>
    </row>
    <row r="118" spans="2:70" customFormat="1" x14ac:dyDescent="0.3">
      <c r="B118" s="6"/>
      <c r="C118" s="6"/>
      <c r="D118" s="6"/>
      <c r="E118" s="3"/>
      <c r="F118" s="23"/>
      <c r="G118" s="3"/>
      <c r="H118" s="3"/>
      <c r="M118" s="11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7"/>
      <c r="AE118" s="7"/>
      <c r="AF118" s="7"/>
      <c r="AG118" s="7"/>
      <c r="AH118" s="3"/>
      <c r="AI118" s="3"/>
      <c r="AJ118" s="3"/>
      <c r="AK118" s="3"/>
      <c r="AL118" s="7"/>
      <c r="AM118" s="22"/>
      <c r="AN118" s="22"/>
      <c r="AO118" s="22"/>
      <c r="AP118" s="3"/>
      <c r="AQ118" s="3"/>
      <c r="AR118" s="3"/>
      <c r="AS118" s="3"/>
      <c r="AT118" s="7"/>
      <c r="AU118" s="24"/>
      <c r="AV118" s="24"/>
      <c r="AW118" s="24"/>
      <c r="AX118" s="3"/>
      <c r="AY118" s="3"/>
      <c r="AZ118" s="3"/>
      <c r="BA118" s="3"/>
      <c r="BB118" s="3"/>
      <c r="BC118" s="24"/>
      <c r="BD118" s="24"/>
      <c r="BE118" s="24"/>
      <c r="BF118" s="3"/>
      <c r="BG118" s="3"/>
      <c r="BH118" s="3"/>
      <c r="BI118" s="3"/>
      <c r="BJ118" s="3"/>
      <c r="BK118" s="3"/>
      <c r="BR118" s="3"/>
    </row>
    <row r="119" spans="2:70" customFormat="1" x14ac:dyDescent="0.3">
      <c r="B119" s="6"/>
      <c r="C119" s="6"/>
      <c r="D119" s="6"/>
      <c r="E119" s="3"/>
      <c r="F119" s="23"/>
      <c r="G119" s="3"/>
      <c r="H119" s="3"/>
      <c r="M119" s="11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7"/>
      <c r="AE119" s="7"/>
      <c r="AF119" s="7"/>
      <c r="AG119" s="7"/>
      <c r="AH119" s="3"/>
      <c r="AI119" s="3"/>
      <c r="AJ119" s="3"/>
      <c r="AK119" s="3"/>
      <c r="AL119" s="7"/>
      <c r="AM119" s="22"/>
      <c r="AN119" s="22"/>
      <c r="AO119" s="22"/>
      <c r="AP119" s="3"/>
      <c r="AQ119" s="3"/>
      <c r="AR119" s="3"/>
      <c r="AS119" s="3"/>
      <c r="AT119" s="7"/>
      <c r="AU119" s="24"/>
      <c r="AV119" s="24"/>
      <c r="AW119" s="24"/>
      <c r="AX119" s="3"/>
      <c r="AY119" s="3"/>
      <c r="AZ119" s="3"/>
      <c r="BA119" s="3"/>
      <c r="BB119" s="3"/>
      <c r="BC119" s="24"/>
      <c r="BD119" s="24"/>
      <c r="BE119" s="24"/>
      <c r="BF119" s="3"/>
      <c r="BG119" s="3"/>
      <c r="BH119" s="3"/>
      <c r="BI119" s="3"/>
      <c r="BJ119" s="3"/>
      <c r="BK119" s="3"/>
      <c r="BR119" s="3"/>
    </row>
    <row r="120" spans="2:70" customFormat="1" x14ac:dyDescent="0.3">
      <c r="B120" s="6"/>
      <c r="C120" s="6"/>
      <c r="D120" s="6"/>
      <c r="E120" s="3"/>
      <c r="F120" s="23"/>
      <c r="G120" s="3"/>
      <c r="H120" s="3"/>
      <c r="M120" s="11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7"/>
      <c r="AE120" s="7"/>
      <c r="AF120" s="7"/>
      <c r="AG120" s="7"/>
      <c r="AH120" s="3"/>
      <c r="AI120" s="3"/>
      <c r="AJ120" s="3"/>
      <c r="AK120" s="3"/>
      <c r="AL120" s="7"/>
      <c r="AM120" s="22"/>
      <c r="AN120" s="22"/>
      <c r="AO120" s="22"/>
      <c r="AP120" s="3"/>
      <c r="AQ120" s="3"/>
      <c r="AR120" s="3"/>
      <c r="AS120" s="3"/>
      <c r="AT120" s="7"/>
      <c r="AU120" s="24"/>
      <c r="AV120" s="24"/>
      <c r="AW120" s="24"/>
      <c r="AX120" s="3"/>
      <c r="AY120" s="3"/>
      <c r="AZ120" s="3"/>
      <c r="BA120" s="3"/>
      <c r="BB120" s="3"/>
      <c r="BC120" s="24"/>
      <c r="BD120" s="24"/>
      <c r="BE120" s="24"/>
      <c r="BF120" s="3"/>
      <c r="BG120" s="3"/>
      <c r="BH120" s="3"/>
      <c r="BI120" s="3"/>
      <c r="BJ120" s="3"/>
      <c r="BK120" s="3"/>
      <c r="BR120" s="3"/>
    </row>
    <row r="121" spans="2:70" customFormat="1" x14ac:dyDescent="0.3">
      <c r="B121" s="6"/>
      <c r="C121" s="6"/>
      <c r="D121" s="6"/>
      <c r="E121" s="3"/>
      <c r="F121" s="23"/>
      <c r="G121" s="3"/>
      <c r="H121" s="3"/>
      <c r="M121" s="11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7"/>
      <c r="AE121" s="7"/>
      <c r="AF121" s="7"/>
      <c r="AG121" s="7"/>
      <c r="AH121" s="3"/>
      <c r="AI121" s="3"/>
      <c r="AJ121" s="3"/>
      <c r="AK121" s="3"/>
      <c r="AL121" s="7"/>
      <c r="AM121" s="22"/>
      <c r="AN121" s="22"/>
      <c r="AO121" s="22"/>
      <c r="AP121" s="3"/>
      <c r="AQ121" s="3"/>
      <c r="AR121" s="3"/>
      <c r="AS121" s="3"/>
      <c r="AT121" s="7"/>
      <c r="AU121" s="24"/>
      <c r="AV121" s="24"/>
      <c r="AW121" s="24"/>
      <c r="AX121" s="3"/>
      <c r="AY121" s="3"/>
      <c r="AZ121" s="3"/>
      <c r="BA121" s="3"/>
      <c r="BB121" s="3"/>
      <c r="BC121" s="24"/>
      <c r="BD121" s="24"/>
      <c r="BE121" s="24"/>
      <c r="BF121" s="3"/>
      <c r="BG121" s="3"/>
      <c r="BH121" s="3"/>
      <c r="BI121" s="3"/>
      <c r="BJ121" s="3"/>
      <c r="BK121" s="3"/>
      <c r="BR121" s="3"/>
    </row>
    <row r="122" spans="2:70" customFormat="1" x14ac:dyDescent="0.3">
      <c r="B122" s="6"/>
      <c r="C122" s="6"/>
      <c r="D122" s="6"/>
      <c r="E122" s="3"/>
      <c r="F122" s="23"/>
      <c r="G122" s="3"/>
      <c r="H122" s="3"/>
      <c r="M122" s="11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7"/>
      <c r="AE122" s="7"/>
      <c r="AF122" s="7"/>
      <c r="AG122" s="7"/>
      <c r="AH122" s="3"/>
      <c r="AI122" s="3"/>
      <c r="AJ122" s="3"/>
      <c r="AK122" s="3"/>
      <c r="AL122" s="7"/>
      <c r="AM122" s="22"/>
      <c r="AN122" s="22"/>
      <c r="AO122" s="22"/>
      <c r="AP122" s="3"/>
      <c r="AQ122" s="3"/>
      <c r="AR122" s="3"/>
      <c r="AS122" s="3"/>
      <c r="AT122" s="7"/>
      <c r="AU122" s="24"/>
      <c r="AV122" s="24"/>
      <c r="AW122" s="24"/>
      <c r="AX122" s="3"/>
      <c r="AY122" s="3"/>
      <c r="AZ122" s="3"/>
      <c r="BA122" s="3"/>
      <c r="BB122" s="3"/>
      <c r="BC122" s="24"/>
      <c r="BD122" s="24"/>
      <c r="BE122" s="24"/>
      <c r="BF122" s="3"/>
      <c r="BG122" s="3"/>
      <c r="BH122" s="3"/>
      <c r="BI122" s="3"/>
      <c r="BJ122" s="3"/>
      <c r="BK122" s="3"/>
      <c r="BR122" s="3"/>
    </row>
    <row r="123" spans="2:70" customFormat="1" x14ac:dyDescent="0.3">
      <c r="B123" s="6"/>
      <c r="C123" s="6"/>
      <c r="D123" s="6"/>
      <c r="E123" s="3"/>
      <c r="F123" s="23"/>
      <c r="G123" s="3"/>
      <c r="H123" s="3"/>
      <c r="M123" s="11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7"/>
      <c r="AE123" s="7"/>
      <c r="AF123" s="7"/>
      <c r="AG123" s="7"/>
      <c r="AH123" s="3"/>
      <c r="AI123" s="3"/>
      <c r="AJ123" s="3"/>
      <c r="AK123" s="3"/>
      <c r="AL123" s="7"/>
      <c r="AM123" s="22"/>
      <c r="AN123" s="22"/>
      <c r="AO123" s="22"/>
      <c r="AP123" s="3"/>
      <c r="AQ123" s="3"/>
      <c r="AR123" s="3"/>
      <c r="AS123" s="3"/>
      <c r="AT123" s="7"/>
      <c r="AU123" s="24"/>
      <c r="AV123" s="24"/>
      <c r="AW123" s="24"/>
      <c r="AX123" s="3"/>
      <c r="AY123" s="3"/>
      <c r="AZ123" s="3"/>
      <c r="BA123" s="3"/>
      <c r="BB123" s="3"/>
      <c r="BC123" s="24"/>
      <c r="BD123" s="24"/>
      <c r="BE123" s="24"/>
      <c r="BF123" s="3"/>
      <c r="BG123" s="3"/>
      <c r="BH123" s="3"/>
      <c r="BI123" s="3"/>
      <c r="BJ123" s="3"/>
      <c r="BK123" s="3"/>
      <c r="BR123" s="3"/>
    </row>
    <row r="124" spans="2:70" customFormat="1" x14ac:dyDescent="0.3">
      <c r="B124" s="6"/>
      <c r="C124" s="6"/>
      <c r="D124" s="6"/>
      <c r="E124" s="3"/>
      <c r="F124" s="23"/>
      <c r="G124" s="3"/>
      <c r="H124" s="3"/>
      <c r="M124" s="11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7"/>
      <c r="AE124" s="7"/>
      <c r="AF124" s="7"/>
      <c r="AG124" s="7"/>
      <c r="AH124" s="3"/>
      <c r="AI124" s="3"/>
      <c r="AJ124" s="3"/>
      <c r="AK124" s="3"/>
      <c r="AL124" s="7"/>
      <c r="AM124" s="22"/>
      <c r="AN124" s="22"/>
      <c r="AO124" s="22"/>
      <c r="AP124" s="3"/>
      <c r="AQ124" s="3"/>
      <c r="AR124" s="3"/>
      <c r="AS124" s="3"/>
      <c r="AT124" s="7"/>
      <c r="AU124" s="24"/>
      <c r="AV124" s="24"/>
      <c r="AW124" s="24"/>
      <c r="AX124" s="3"/>
      <c r="AY124" s="3"/>
      <c r="AZ124" s="3"/>
      <c r="BA124" s="3"/>
      <c r="BB124" s="3"/>
      <c r="BC124" s="24"/>
      <c r="BD124" s="24"/>
      <c r="BE124" s="24"/>
      <c r="BF124" s="3"/>
      <c r="BG124" s="3"/>
      <c r="BH124" s="3"/>
      <c r="BI124" s="3"/>
      <c r="BJ124" s="3"/>
      <c r="BK124" s="3"/>
      <c r="BR124" s="3"/>
    </row>
    <row r="125" spans="2:70" customFormat="1" x14ac:dyDescent="0.3">
      <c r="B125" s="6"/>
      <c r="C125" s="6"/>
      <c r="D125" s="6"/>
      <c r="E125" s="3"/>
      <c r="F125" s="23"/>
      <c r="G125" s="3"/>
      <c r="H125" s="3"/>
      <c r="M125" s="11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7"/>
      <c r="AE125" s="7"/>
      <c r="AF125" s="7"/>
      <c r="AG125" s="7"/>
      <c r="AH125" s="3"/>
      <c r="AI125" s="3"/>
      <c r="AJ125" s="3"/>
      <c r="AK125" s="3"/>
      <c r="AL125" s="7"/>
      <c r="AM125" s="22"/>
      <c r="AN125" s="22"/>
      <c r="AO125" s="22"/>
      <c r="AP125" s="3"/>
      <c r="AQ125" s="3"/>
      <c r="AR125" s="3"/>
      <c r="AS125" s="3"/>
      <c r="AT125" s="7"/>
      <c r="AU125" s="24"/>
      <c r="AV125" s="24"/>
      <c r="AW125" s="24"/>
      <c r="AX125" s="3"/>
      <c r="AY125" s="3"/>
      <c r="AZ125" s="3"/>
      <c r="BA125" s="3"/>
      <c r="BB125" s="3"/>
      <c r="BC125" s="24"/>
      <c r="BD125" s="24"/>
      <c r="BE125" s="24"/>
      <c r="BF125" s="3"/>
      <c r="BG125" s="3"/>
      <c r="BH125" s="3"/>
      <c r="BI125" s="3"/>
      <c r="BJ125" s="3"/>
      <c r="BK125" s="3"/>
      <c r="BR125" s="3"/>
    </row>
    <row r="126" spans="2:70" customFormat="1" x14ac:dyDescent="0.3">
      <c r="B126" s="6"/>
      <c r="C126" s="6"/>
      <c r="D126" s="6"/>
      <c r="E126" s="3"/>
      <c r="F126" s="23"/>
      <c r="G126" s="3"/>
      <c r="H126" s="3"/>
      <c r="M126" s="11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7"/>
      <c r="AE126" s="7"/>
      <c r="AF126" s="7"/>
      <c r="AG126" s="7"/>
      <c r="AH126" s="3"/>
      <c r="AI126" s="3"/>
      <c r="AJ126" s="3"/>
      <c r="AK126" s="3"/>
      <c r="AL126" s="7"/>
      <c r="AM126" s="22"/>
      <c r="AN126" s="22"/>
      <c r="AO126" s="22"/>
      <c r="AP126" s="3"/>
      <c r="AQ126" s="3"/>
      <c r="AR126" s="3"/>
      <c r="AS126" s="3"/>
      <c r="AT126" s="7"/>
      <c r="AU126" s="24"/>
      <c r="AV126" s="24"/>
      <c r="AW126" s="24"/>
      <c r="AX126" s="3"/>
      <c r="AY126" s="3"/>
      <c r="AZ126" s="3"/>
      <c r="BA126" s="3"/>
      <c r="BB126" s="3"/>
      <c r="BC126" s="24"/>
      <c r="BD126" s="24"/>
      <c r="BE126" s="24"/>
      <c r="BF126" s="3"/>
      <c r="BG126" s="3"/>
      <c r="BH126" s="3"/>
      <c r="BI126" s="3"/>
      <c r="BJ126" s="3"/>
      <c r="BK126" s="3"/>
      <c r="BR126" s="3"/>
    </row>
    <row r="127" spans="2:70" customFormat="1" x14ac:dyDescent="0.3">
      <c r="B127" s="6"/>
      <c r="C127" s="6"/>
      <c r="D127" s="6"/>
      <c r="E127" s="3"/>
      <c r="F127" s="23"/>
      <c r="G127" s="3"/>
      <c r="H127" s="3"/>
      <c r="M127" s="11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7"/>
      <c r="AE127" s="7"/>
      <c r="AF127" s="7"/>
      <c r="AG127" s="7"/>
      <c r="AH127" s="3"/>
      <c r="AI127" s="3"/>
      <c r="AJ127" s="3"/>
      <c r="AK127" s="3"/>
      <c r="AL127" s="7"/>
      <c r="AM127" s="22"/>
      <c r="AN127" s="22"/>
      <c r="AO127" s="22"/>
      <c r="AP127" s="3"/>
      <c r="AQ127" s="3"/>
      <c r="AR127" s="3"/>
      <c r="AS127" s="3"/>
      <c r="AT127" s="7"/>
      <c r="AU127" s="24"/>
      <c r="AV127" s="24"/>
      <c r="AW127" s="24"/>
      <c r="AX127" s="3"/>
      <c r="AY127" s="3"/>
      <c r="AZ127" s="3"/>
      <c r="BA127" s="3"/>
      <c r="BB127" s="3"/>
      <c r="BC127" s="24"/>
      <c r="BD127" s="24"/>
      <c r="BE127" s="24"/>
      <c r="BF127" s="3"/>
      <c r="BG127" s="3"/>
      <c r="BH127" s="3"/>
      <c r="BI127" s="3"/>
      <c r="BJ127" s="3"/>
      <c r="BK127" s="3"/>
      <c r="BR127" s="3"/>
    </row>
    <row r="128" spans="2:70" customFormat="1" x14ac:dyDescent="0.3">
      <c r="B128" s="6"/>
      <c r="C128" s="6"/>
      <c r="D128" s="6"/>
      <c r="E128" s="3"/>
      <c r="F128" s="23"/>
      <c r="G128" s="3"/>
      <c r="H128" s="3"/>
      <c r="M128" s="11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7"/>
      <c r="AE128" s="7"/>
      <c r="AF128" s="7"/>
      <c r="AG128" s="7"/>
      <c r="AH128" s="3"/>
      <c r="AI128" s="3"/>
      <c r="AJ128" s="3"/>
      <c r="AK128" s="3"/>
      <c r="AL128" s="7"/>
      <c r="AM128" s="22"/>
      <c r="AN128" s="22"/>
      <c r="AO128" s="22"/>
      <c r="AP128" s="3"/>
      <c r="AQ128" s="3"/>
      <c r="AR128" s="3"/>
      <c r="AS128" s="3"/>
      <c r="AT128" s="7"/>
      <c r="AU128" s="24"/>
      <c r="AV128" s="24"/>
      <c r="AW128" s="24"/>
      <c r="AX128" s="3"/>
      <c r="AY128" s="3"/>
      <c r="AZ128" s="3"/>
      <c r="BA128" s="3"/>
      <c r="BB128" s="3"/>
      <c r="BC128" s="24"/>
      <c r="BD128" s="24"/>
      <c r="BE128" s="24"/>
      <c r="BF128" s="3"/>
      <c r="BG128" s="3"/>
      <c r="BH128" s="3"/>
      <c r="BI128" s="3"/>
      <c r="BJ128" s="3"/>
      <c r="BK128" s="3"/>
      <c r="BR128" s="3"/>
    </row>
    <row r="129" spans="2:70" customFormat="1" x14ac:dyDescent="0.3">
      <c r="B129" s="6"/>
      <c r="C129" s="6"/>
      <c r="D129" s="6"/>
      <c r="E129" s="3"/>
      <c r="F129" s="23"/>
      <c r="G129" s="3"/>
      <c r="H129" s="3"/>
      <c r="M129" s="11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7"/>
      <c r="AE129" s="7"/>
      <c r="AF129" s="7"/>
      <c r="AG129" s="7"/>
      <c r="AH129" s="3"/>
      <c r="AI129" s="3"/>
      <c r="AJ129" s="3"/>
      <c r="AK129" s="3"/>
      <c r="AL129" s="7"/>
      <c r="AM129" s="22"/>
      <c r="AN129" s="22"/>
      <c r="AO129" s="22"/>
      <c r="AP129" s="3"/>
      <c r="AQ129" s="3"/>
      <c r="AR129" s="3"/>
      <c r="AS129" s="3"/>
      <c r="AT129" s="7"/>
      <c r="AU129" s="24"/>
      <c r="AV129" s="24"/>
      <c r="AW129" s="24"/>
      <c r="AX129" s="3"/>
      <c r="AY129" s="3"/>
      <c r="AZ129" s="3"/>
      <c r="BA129" s="3"/>
      <c r="BB129" s="3"/>
      <c r="BC129" s="24"/>
      <c r="BD129" s="24"/>
      <c r="BE129" s="24"/>
      <c r="BF129" s="3"/>
      <c r="BG129" s="3"/>
      <c r="BH129" s="3"/>
      <c r="BI129" s="3"/>
      <c r="BJ129" s="3"/>
      <c r="BK129" s="3"/>
      <c r="BR129" s="3"/>
    </row>
    <row r="130" spans="2:70" customFormat="1" x14ac:dyDescent="0.3">
      <c r="B130" s="6"/>
      <c r="C130" s="6"/>
      <c r="D130" s="6"/>
      <c r="E130" s="3"/>
      <c r="F130" s="23"/>
      <c r="G130" s="3"/>
      <c r="H130" s="3"/>
      <c r="M130" s="11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7"/>
      <c r="AE130" s="7"/>
      <c r="AF130" s="7"/>
      <c r="AG130" s="7"/>
      <c r="AH130" s="3"/>
      <c r="AI130" s="3"/>
      <c r="AJ130" s="3"/>
      <c r="AK130" s="3"/>
      <c r="AL130" s="7"/>
      <c r="AM130" s="22"/>
      <c r="AN130" s="22"/>
      <c r="AO130" s="22"/>
      <c r="AP130" s="3"/>
      <c r="AQ130" s="3"/>
      <c r="AR130" s="3"/>
      <c r="AS130" s="3"/>
      <c r="AT130" s="7"/>
      <c r="AU130" s="24"/>
      <c r="AV130" s="24"/>
      <c r="AW130" s="24"/>
      <c r="AX130" s="3"/>
      <c r="AY130" s="3"/>
      <c r="AZ130" s="3"/>
      <c r="BA130" s="3"/>
      <c r="BB130" s="3"/>
      <c r="BC130" s="24"/>
      <c r="BD130" s="24"/>
      <c r="BE130" s="24"/>
      <c r="BF130" s="3"/>
      <c r="BG130" s="3"/>
      <c r="BH130" s="3"/>
      <c r="BI130" s="3"/>
      <c r="BJ130" s="3"/>
      <c r="BK130" s="3"/>
      <c r="BR130" s="3"/>
    </row>
    <row r="131" spans="2:70" customFormat="1" x14ac:dyDescent="0.3">
      <c r="B131" s="6"/>
      <c r="C131" s="6"/>
      <c r="D131" s="6"/>
      <c r="E131" s="3"/>
      <c r="F131" s="23"/>
      <c r="G131" s="3"/>
      <c r="H131" s="3"/>
      <c r="M131" s="11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7"/>
      <c r="AE131" s="7"/>
      <c r="AF131" s="7"/>
      <c r="AG131" s="7"/>
      <c r="AH131" s="3"/>
      <c r="AI131" s="3"/>
      <c r="AJ131" s="3"/>
      <c r="AK131" s="3"/>
      <c r="AL131" s="7"/>
      <c r="AM131" s="22"/>
      <c r="AN131" s="22"/>
      <c r="AO131" s="22"/>
      <c r="AP131" s="3"/>
      <c r="AQ131" s="3"/>
      <c r="AR131" s="3"/>
      <c r="AS131" s="3"/>
      <c r="AT131" s="7"/>
      <c r="AU131" s="24"/>
      <c r="AV131" s="24"/>
      <c r="AW131" s="24"/>
      <c r="AX131" s="3"/>
      <c r="AY131" s="3"/>
      <c r="AZ131" s="3"/>
      <c r="BA131" s="3"/>
      <c r="BB131" s="3"/>
      <c r="BC131" s="24"/>
      <c r="BD131" s="24"/>
      <c r="BE131" s="24"/>
      <c r="BF131" s="3"/>
      <c r="BG131" s="3"/>
      <c r="BH131" s="3"/>
      <c r="BI131" s="3"/>
      <c r="BJ131" s="3"/>
      <c r="BK131" s="3"/>
      <c r="BR131" s="3"/>
    </row>
    <row r="132" spans="2:70" customFormat="1" x14ac:dyDescent="0.3">
      <c r="B132" s="6"/>
      <c r="C132" s="6"/>
      <c r="D132" s="6"/>
      <c r="E132" s="3"/>
      <c r="F132" s="23"/>
      <c r="G132" s="3"/>
      <c r="H132" s="3"/>
      <c r="M132" s="11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7"/>
      <c r="AE132" s="7"/>
      <c r="AF132" s="7"/>
      <c r="AG132" s="7"/>
      <c r="AH132" s="3"/>
      <c r="AI132" s="3"/>
      <c r="AJ132" s="3"/>
      <c r="AK132" s="3"/>
      <c r="AL132" s="7"/>
      <c r="AM132" s="22"/>
      <c r="AN132" s="22"/>
      <c r="AO132" s="22"/>
      <c r="AP132" s="3"/>
      <c r="AQ132" s="3"/>
      <c r="AR132" s="3"/>
      <c r="AS132" s="3"/>
      <c r="AT132" s="7"/>
      <c r="AU132" s="24"/>
      <c r="AV132" s="24"/>
      <c r="AW132" s="24"/>
      <c r="AX132" s="3"/>
      <c r="AY132" s="3"/>
      <c r="AZ132" s="3"/>
      <c r="BA132" s="3"/>
      <c r="BB132" s="3"/>
      <c r="BC132" s="24"/>
      <c r="BD132" s="24"/>
      <c r="BE132" s="24"/>
      <c r="BF132" s="3"/>
      <c r="BG132" s="3"/>
      <c r="BH132" s="3"/>
      <c r="BI132" s="3"/>
      <c r="BJ132" s="3"/>
      <c r="BK132" s="3"/>
      <c r="BR132" s="3"/>
    </row>
    <row r="133" spans="2:70" customFormat="1" x14ac:dyDescent="0.3">
      <c r="B133" s="6"/>
      <c r="C133" s="6"/>
      <c r="D133" s="6"/>
      <c r="E133" s="3"/>
      <c r="F133" s="23"/>
      <c r="G133" s="3"/>
      <c r="H133" s="3"/>
      <c r="M133" s="11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7"/>
      <c r="AE133" s="7"/>
      <c r="AF133" s="7"/>
      <c r="AG133" s="7"/>
      <c r="AH133" s="3"/>
      <c r="AI133" s="3"/>
      <c r="AJ133" s="3"/>
      <c r="AK133" s="3"/>
      <c r="AL133" s="7"/>
      <c r="AM133" s="22"/>
      <c r="AN133" s="22"/>
      <c r="AO133" s="22"/>
      <c r="AP133" s="3"/>
      <c r="AQ133" s="3"/>
      <c r="AR133" s="3"/>
      <c r="AS133" s="3"/>
      <c r="AT133" s="7"/>
      <c r="AU133" s="24"/>
      <c r="AV133" s="24"/>
      <c r="AW133" s="24"/>
      <c r="AX133" s="3"/>
      <c r="AY133" s="3"/>
      <c r="AZ133" s="3"/>
      <c r="BA133" s="3"/>
      <c r="BB133" s="3"/>
      <c r="BC133" s="24"/>
      <c r="BD133" s="24"/>
      <c r="BE133" s="24"/>
      <c r="BF133" s="3"/>
      <c r="BG133" s="3"/>
      <c r="BH133" s="3"/>
      <c r="BI133" s="3"/>
      <c r="BJ133" s="3"/>
      <c r="BK133" s="3"/>
      <c r="BR133" s="3"/>
    </row>
    <row r="134" spans="2:70" customFormat="1" x14ac:dyDescent="0.3">
      <c r="B134" s="6"/>
      <c r="C134" s="6"/>
      <c r="D134" s="6"/>
      <c r="E134" s="3"/>
      <c r="F134" s="23"/>
      <c r="G134" s="3"/>
      <c r="H134" s="3"/>
      <c r="M134" s="11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7"/>
      <c r="AE134" s="7"/>
      <c r="AF134" s="7"/>
      <c r="AG134" s="7"/>
      <c r="AH134" s="3"/>
      <c r="AI134" s="3"/>
      <c r="AJ134" s="3"/>
      <c r="AK134" s="3"/>
      <c r="AL134" s="7"/>
      <c r="AM134" s="22"/>
      <c r="AN134" s="22"/>
      <c r="AO134" s="22"/>
      <c r="AP134" s="3"/>
      <c r="AQ134" s="3"/>
      <c r="AR134" s="3"/>
      <c r="AS134" s="3"/>
      <c r="AT134" s="7"/>
      <c r="AU134" s="24"/>
      <c r="AV134" s="24"/>
      <c r="AW134" s="24"/>
      <c r="AX134" s="3"/>
      <c r="AY134" s="3"/>
      <c r="AZ134" s="3"/>
      <c r="BA134" s="3"/>
      <c r="BB134" s="3"/>
      <c r="BC134" s="24"/>
      <c r="BD134" s="24"/>
      <c r="BE134" s="24"/>
      <c r="BF134" s="3"/>
      <c r="BG134" s="3"/>
      <c r="BH134" s="3"/>
      <c r="BI134" s="3"/>
      <c r="BJ134" s="3"/>
      <c r="BK134" s="3"/>
      <c r="BR134" s="3"/>
    </row>
    <row r="135" spans="2:70" customFormat="1" x14ac:dyDescent="0.3">
      <c r="B135" s="6"/>
      <c r="C135" s="6"/>
      <c r="D135" s="6"/>
      <c r="E135" s="3"/>
      <c r="F135" s="23"/>
      <c r="G135" s="3"/>
      <c r="H135" s="3"/>
      <c r="M135" s="11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7"/>
      <c r="AE135" s="7"/>
      <c r="AF135" s="7"/>
      <c r="AG135" s="7"/>
      <c r="AH135" s="3"/>
      <c r="AI135" s="3"/>
      <c r="AJ135" s="3"/>
      <c r="AK135" s="3"/>
      <c r="AL135" s="7"/>
      <c r="AM135" s="22"/>
      <c r="AN135" s="22"/>
      <c r="AO135" s="22"/>
      <c r="AP135" s="3"/>
      <c r="AQ135" s="3"/>
      <c r="AR135" s="3"/>
      <c r="AS135" s="3"/>
      <c r="AT135" s="7"/>
      <c r="AU135" s="24"/>
      <c r="AV135" s="24"/>
      <c r="AW135" s="24"/>
      <c r="AX135" s="3"/>
      <c r="AY135" s="3"/>
      <c r="AZ135" s="3"/>
      <c r="BA135" s="3"/>
      <c r="BB135" s="3"/>
      <c r="BC135" s="24"/>
      <c r="BD135" s="24"/>
      <c r="BE135" s="24"/>
      <c r="BF135" s="3"/>
      <c r="BG135" s="3"/>
      <c r="BH135" s="3"/>
      <c r="BI135" s="3"/>
      <c r="BJ135" s="3"/>
      <c r="BK135" s="3"/>
      <c r="BR135" s="3"/>
    </row>
    <row r="136" spans="2:70" customFormat="1" x14ac:dyDescent="0.3">
      <c r="B136" s="6"/>
      <c r="C136" s="6"/>
      <c r="D136" s="6"/>
      <c r="E136" s="3"/>
      <c r="F136" s="23"/>
      <c r="G136" s="3"/>
      <c r="H136" s="3"/>
      <c r="M136" s="11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7"/>
      <c r="AE136" s="7"/>
      <c r="AF136" s="7"/>
      <c r="AG136" s="7"/>
      <c r="AH136" s="3"/>
      <c r="AI136" s="3"/>
      <c r="AJ136" s="3"/>
      <c r="AK136" s="3"/>
      <c r="AL136" s="7"/>
      <c r="AM136" s="22"/>
      <c r="AN136" s="22"/>
      <c r="AO136" s="22"/>
      <c r="AP136" s="3"/>
      <c r="AQ136" s="3"/>
      <c r="AR136" s="3"/>
      <c r="AS136" s="3"/>
      <c r="AT136" s="7"/>
      <c r="AU136" s="24"/>
      <c r="AV136" s="24"/>
      <c r="AW136" s="24"/>
      <c r="AX136" s="3"/>
      <c r="AY136" s="3"/>
      <c r="AZ136" s="3"/>
      <c r="BA136" s="3"/>
      <c r="BB136" s="3"/>
      <c r="BC136" s="24"/>
      <c r="BD136" s="24"/>
      <c r="BE136" s="24"/>
      <c r="BF136" s="3"/>
      <c r="BG136" s="3"/>
      <c r="BH136" s="3"/>
      <c r="BI136" s="3"/>
      <c r="BJ136" s="3"/>
      <c r="BK136" s="3"/>
      <c r="BR136" s="3"/>
    </row>
    <row r="137" spans="2:70" customFormat="1" x14ac:dyDescent="0.3">
      <c r="B137" s="6"/>
      <c r="C137" s="6"/>
      <c r="D137" s="6"/>
      <c r="E137" s="3"/>
      <c r="F137" s="23"/>
      <c r="G137" s="3"/>
      <c r="H137" s="3"/>
      <c r="M137" s="11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7"/>
      <c r="AE137" s="7"/>
      <c r="AF137" s="7"/>
      <c r="AG137" s="7"/>
      <c r="AH137" s="3"/>
      <c r="AI137" s="3"/>
      <c r="AJ137" s="3"/>
      <c r="AK137" s="3"/>
      <c r="AL137" s="7"/>
      <c r="AM137" s="22"/>
      <c r="AN137" s="22"/>
      <c r="AO137" s="22"/>
      <c r="AP137" s="3"/>
      <c r="AQ137" s="3"/>
      <c r="AR137" s="3"/>
      <c r="AS137" s="3"/>
      <c r="AT137" s="7"/>
      <c r="AU137" s="24"/>
      <c r="AV137" s="24"/>
      <c r="AW137" s="24"/>
      <c r="AX137" s="3"/>
      <c r="AY137" s="3"/>
      <c r="AZ137" s="3"/>
      <c r="BA137" s="3"/>
      <c r="BB137" s="3"/>
      <c r="BC137" s="24"/>
      <c r="BD137" s="24"/>
      <c r="BE137" s="24"/>
      <c r="BF137" s="3"/>
      <c r="BG137" s="3"/>
      <c r="BH137" s="3"/>
      <c r="BI137" s="3"/>
      <c r="BJ137" s="3"/>
      <c r="BK137" s="3"/>
      <c r="BR137" s="3"/>
    </row>
    <row r="138" spans="2:70" customFormat="1" x14ac:dyDescent="0.3">
      <c r="B138" s="6"/>
      <c r="C138" s="6"/>
      <c r="D138" s="6"/>
      <c r="E138" s="3"/>
      <c r="F138" s="23"/>
      <c r="G138" s="3"/>
      <c r="H138" s="3"/>
      <c r="M138" s="11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7"/>
      <c r="AE138" s="7"/>
      <c r="AF138" s="7"/>
      <c r="AG138" s="7"/>
      <c r="AH138" s="3"/>
      <c r="AI138" s="3"/>
      <c r="AJ138" s="3"/>
      <c r="AK138" s="3"/>
      <c r="AL138" s="7"/>
      <c r="AM138" s="22"/>
      <c r="AN138" s="22"/>
      <c r="AO138" s="22"/>
      <c r="AP138" s="3"/>
      <c r="AQ138" s="3"/>
      <c r="AR138" s="3"/>
      <c r="AS138" s="3"/>
      <c r="AT138" s="7"/>
      <c r="AU138" s="24"/>
      <c r="AV138" s="24"/>
      <c r="AW138" s="24"/>
      <c r="AX138" s="3"/>
      <c r="AY138" s="3"/>
      <c r="AZ138" s="3"/>
      <c r="BA138" s="3"/>
      <c r="BB138" s="3"/>
      <c r="BC138" s="24"/>
      <c r="BD138" s="24"/>
      <c r="BE138" s="24"/>
      <c r="BF138" s="3"/>
      <c r="BG138" s="3"/>
      <c r="BH138" s="3"/>
      <c r="BI138" s="3"/>
      <c r="BJ138" s="3"/>
      <c r="BK138" s="3"/>
      <c r="BR138" s="3"/>
    </row>
    <row r="139" spans="2:70" customFormat="1" x14ac:dyDescent="0.3">
      <c r="B139" s="6"/>
      <c r="C139" s="6"/>
      <c r="D139" s="6"/>
      <c r="E139" s="3"/>
      <c r="F139" s="23"/>
      <c r="G139" s="3"/>
      <c r="H139" s="3"/>
      <c r="M139" s="11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7"/>
      <c r="AE139" s="7"/>
      <c r="AF139" s="7"/>
      <c r="AG139" s="7"/>
      <c r="AH139" s="3"/>
      <c r="AI139" s="3"/>
      <c r="AJ139" s="3"/>
      <c r="AK139" s="3"/>
      <c r="AL139" s="7"/>
      <c r="AM139" s="22"/>
      <c r="AN139" s="22"/>
      <c r="AO139" s="22"/>
      <c r="AP139" s="3"/>
      <c r="AQ139" s="3"/>
      <c r="AR139" s="3"/>
      <c r="AS139" s="3"/>
      <c r="AT139" s="7"/>
      <c r="AU139" s="24"/>
      <c r="AV139" s="24"/>
      <c r="AW139" s="24"/>
      <c r="AX139" s="3"/>
      <c r="AY139" s="3"/>
      <c r="AZ139" s="3"/>
      <c r="BA139" s="3"/>
      <c r="BB139" s="3"/>
      <c r="BC139" s="24"/>
      <c r="BD139" s="24"/>
      <c r="BE139" s="24"/>
      <c r="BF139" s="3"/>
      <c r="BG139" s="3"/>
      <c r="BH139" s="3"/>
      <c r="BI139" s="3"/>
      <c r="BJ139" s="3"/>
      <c r="BK139" s="3"/>
      <c r="BR139" s="3"/>
    </row>
    <row r="140" spans="2:70" customFormat="1" x14ac:dyDescent="0.3">
      <c r="B140" s="6"/>
      <c r="C140" s="6"/>
      <c r="D140" s="6"/>
      <c r="E140" s="3"/>
      <c r="F140" s="23"/>
      <c r="G140" s="3"/>
      <c r="H140" s="3"/>
      <c r="M140" s="11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7"/>
      <c r="AE140" s="7"/>
      <c r="AF140" s="7"/>
      <c r="AG140" s="7"/>
      <c r="AH140" s="3"/>
      <c r="AI140" s="3"/>
      <c r="AJ140" s="3"/>
      <c r="AK140" s="3"/>
      <c r="AL140" s="7"/>
      <c r="AM140" s="22"/>
      <c r="AN140" s="22"/>
      <c r="AO140" s="22"/>
      <c r="AP140" s="3"/>
      <c r="AQ140" s="3"/>
      <c r="AR140" s="3"/>
      <c r="AS140" s="3"/>
      <c r="AT140" s="7"/>
      <c r="AU140" s="24"/>
      <c r="AV140" s="24"/>
      <c r="AW140" s="24"/>
      <c r="AX140" s="3"/>
      <c r="AY140" s="3"/>
      <c r="AZ140" s="3"/>
      <c r="BA140" s="3"/>
      <c r="BB140" s="3"/>
      <c r="BC140" s="24"/>
      <c r="BD140" s="24"/>
      <c r="BE140" s="24"/>
      <c r="BF140" s="3"/>
      <c r="BG140" s="3"/>
      <c r="BH140" s="3"/>
      <c r="BI140" s="3"/>
      <c r="BJ140" s="3"/>
      <c r="BK140" s="3"/>
      <c r="BR140" s="3"/>
    </row>
    <row r="141" spans="2:70" customFormat="1" x14ac:dyDescent="0.3">
      <c r="B141" s="6"/>
      <c r="C141" s="6"/>
      <c r="D141" s="6"/>
      <c r="E141" s="3"/>
      <c r="F141" s="23"/>
      <c r="G141" s="3"/>
      <c r="H141" s="3"/>
      <c r="M141" s="11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7"/>
      <c r="AE141" s="7"/>
      <c r="AF141" s="7"/>
      <c r="AG141" s="7"/>
      <c r="AH141" s="3"/>
      <c r="AI141" s="3"/>
      <c r="AJ141" s="3"/>
      <c r="AK141" s="3"/>
      <c r="AL141" s="7"/>
      <c r="AM141" s="22"/>
      <c r="AN141" s="22"/>
      <c r="AO141" s="22"/>
      <c r="AP141" s="3"/>
      <c r="AQ141" s="3"/>
      <c r="AR141" s="3"/>
      <c r="AS141" s="3"/>
      <c r="AT141" s="7"/>
      <c r="AU141" s="24"/>
      <c r="AV141" s="24"/>
      <c r="AW141" s="24"/>
      <c r="AX141" s="3"/>
      <c r="AY141" s="3"/>
      <c r="AZ141" s="3"/>
      <c r="BA141" s="3"/>
      <c r="BB141" s="3"/>
      <c r="BC141" s="24"/>
      <c r="BD141" s="24"/>
      <c r="BE141" s="24"/>
      <c r="BF141" s="3"/>
      <c r="BG141" s="3"/>
      <c r="BH141" s="3"/>
      <c r="BI141" s="3"/>
      <c r="BJ141" s="3"/>
      <c r="BK141" s="3"/>
      <c r="BR141" s="3"/>
    </row>
    <row r="142" spans="2:70" customFormat="1" x14ac:dyDescent="0.3">
      <c r="B142" s="6"/>
      <c r="C142" s="6"/>
      <c r="D142" s="6"/>
      <c r="E142" s="3"/>
      <c r="F142" s="23"/>
      <c r="G142" s="3"/>
      <c r="H142" s="3"/>
      <c r="M142" s="11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7"/>
      <c r="AE142" s="7"/>
      <c r="AF142" s="7"/>
      <c r="AG142" s="7"/>
      <c r="AH142" s="3"/>
      <c r="AI142" s="3"/>
      <c r="AJ142" s="3"/>
      <c r="AK142" s="3"/>
      <c r="AL142" s="7"/>
      <c r="AM142" s="22"/>
      <c r="AN142" s="22"/>
      <c r="AO142" s="22"/>
      <c r="AP142" s="3"/>
      <c r="AQ142" s="3"/>
      <c r="AR142" s="3"/>
      <c r="AS142" s="3"/>
      <c r="AT142" s="7"/>
      <c r="AU142" s="24"/>
      <c r="AV142" s="24"/>
      <c r="AW142" s="24"/>
      <c r="AX142" s="3"/>
      <c r="AY142" s="3"/>
      <c r="AZ142" s="3"/>
      <c r="BA142" s="3"/>
      <c r="BB142" s="3"/>
      <c r="BC142" s="24"/>
      <c r="BD142" s="24"/>
      <c r="BE142" s="24"/>
      <c r="BF142" s="3"/>
      <c r="BG142" s="3"/>
      <c r="BH142" s="3"/>
      <c r="BI142" s="3"/>
      <c r="BJ142" s="3"/>
      <c r="BK142" s="3"/>
      <c r="BR142" s="3"/>
    </row>
    <row r="143" spans="2:70" customFormat="1" x14ac:dyDescent="0.3">
      <c r="B143" s="6"/>
      <c r="C143" s="6"/>
      <c r="D143" s="6"/>
      <c r="E143" s="3"/>
      <c r="F143" s="23"/>
      <c r="G143" s="3"/>
      <c r="H143" s="3"/>
      <c r="M143" s="11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7"/>
      <c r="AE143" s="7"/>
      <c r="AF143" s="7"/>
      <c r="AG143" s="7"/>
      <c r="AH143" s="3"/>
      <c r="AI143" s="3"/>
      <c r="AJ143" s="3"/>
      <c r="AK143" s="3"/>
      <c r="AL143" s="7"/>
      <c r="AM143" s="22"/>
      <c r="AN143" s="22"/>
      <c r="AO143" s="22"/>
      <c r="AP143" s="3"/>
      <c r="AQ143" s="3"/>
      <c r="AR143" s="3"/>
      <c r="AS143" s="3"/>
      <c r="AT143" s="7"/>
      <c r="AU143" s="24"/>
      <c r="AV143" s="24"/>
      <c r="AW143" s="24"/>
      <c r="AX143" s="3"/>
      <c r="AY143" s="3"/>
      <c r="AZ143" s="3"/>
      <c r="BA143" s="3"/>
      <c r="BB143" s="3"/>
      <c r="BC143" s="24"/>
      <c r="BD143" s="24"/>
      <c r="BE143" s="24"/>
      <c r="BF143" s="3"/>
      <c r="BG143" s="3"/>
      <c r="BH143" s="3"/>
      <c r="BI143" s="3"/>
      <c r="BJ143" s="3"/>
      <c r="BK143" s="3"/>
      <c r="BR143" s="3"/>
    </row>
    <row r="144" spans="2:70" customFormat="1" x14ac:dyDescent="0.3">
      <c r="B144" s="6"/>
      <c r="C144" s="6"/>
      <c r="D144" s="6"/>
      <c r="E144" s="3"/>
      <c r="F144" s="23"/>
      <c r="G144" s="3"/>
      <c r="H144" s="3"/>
      <c r="M144" s="11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7"/>
      <c r="AE144" s="7"/>
      <c r="AF144" s="7"/>
      <c r="AG144" s="7"/>
      <c r="AH144" s="3"/>
      <c r="AI144" s="3"/>
      <c r="AJ144" s="3"/>
      <c r="AK144" s="3"/>
      <c r="AL144" s="7"/>
      <c r="AM144" s="22"/>
      <c r="AN144" s="22"/>
      <c r="AO144" s="22"/>
      <c r="AP144" s="3"/>
      <c r="AQ144" s="3"/>
      <c r="AR144" s="3"/>
      <c r="AS144" s="3"/>
      <c r="AT144" s="7"/>
      <c r="AU144" s="24"/>
      <c r="AV144" s="24"/>
      <c r="AW144" s="24"/>
      <c r="AX144" s="3"/>
      <c r="AY144" s="3"/>
      <c r="AZ144" s="3"/>
      <c r="BA144" s="3"/>
      <c r="BB144" s="3"/>
      <c r="BC144" s="24"/>
      <c r="BD144" s="24"/>
      <c r="BE144" s="24"/>
      <c r="BF144" s="3"/>
      <c r="BG144" s="3"/>
      <c r="BH144" s="3"/>
      <c r="BI144" s="3"/>
      <c r="BJ144" s="3"/>
      <c r="BK144" s="3"/>
      <c r="BR144" s="3"/>
    </row>
    <row r="145" spans="2:70" customFormat="1" x14ac:dyDescent="0.3">
      <c r="B145" s="6"/>
      <c r="C145" s="6"/>
      <c r="D145" s="6"/>
      <c r="E145" s="3"/>
      <c r="F145" s="23"/>
      <c r="G145" s="3"/>
      <c r="H145" s="3"/>
      <c r="M145" s="11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7"/>
      <c r="AE145" s="7"/>
      <c r="AF145" s="7"/>
      <c r="AG145" s="7"/>
      <c r="AH145" s="3"/>
      <c r="AI145" s="3"/>
      <c r="AJ145" s="3"/>
      <c r="AK145" s="3"/>
      <c r="AL145" s="7"/>
      <c r="AM145" s="22"/>
      <c r="AN145" s="22"/>
      <c r="AO145" s="22"/>
      <c r="AP145" s="3"/>
      <c r="AQ145" s="3"/>
      <c r="AR145" s="3"/>
      <c r="AS145" s="3"/>
      <c r="AT145" s="7"/>
      <c r="AU145" s="24"/>
      <c r="AV145" s="24"/>
      <c r="AW145" s="24"/>
      <c r="AX145" s="3"/>
      <c r="AY145" s="3"/>
      <c r="AZ145" s="3"/>
      <c r="BA145" s="3"/>
      <c r="BB145" s="3"/>
      <c r="BC145" s="24"/>
      <c r="BD145" s="24"/>
      <c r="BE145" s="24"/>
      <c r="BF145" s="3"/>
      <c r="BG145" s="3"/>
      <c r="BH145" s="3"/>
      <c r="BI145" s="3"/>
      <c r="BJ145" s="3"/>
      <c r="BK145" s="3"/>
      <c r="BR145" s="3"/>
    </row>
    <row r="146" spans="2:70" customFormat="1" x14ac:dyDescent="0.3">
      <c r="B146" s="6"/>
      <c r="C146" s="6"/>
      <c r="D146" s="6"/>
      <c r="E146" s="3"/>
      <c r="F146" s="23"/>
      <c r="G146" s="3"/>
      <c r="H146" s="3"/>
      <c r="M146" s="11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7"/>
      <c r="AE146" s="7"/>
      <c r="AF146" s="7"/>
      <c r="AG146" s="7"/>
      <c r="AH146" s="3"/>
      <c r="AI146" s="3"/>
      <c r="AJ146" s="3"/>
      <c r="AK146" s="3"/>
      <c r="AL146" s="7"/>
      <c r="AM146" s="22"/>
      <c r="AN146" s="22"/>
      <c r="AO146" s="22"/>
      <c r="AP146" s="3"/>
      <c r="AQ146" s="3"/>
      <c r="AR146" s="3"/>
      <c r="AS146" s="3"/>
      <c r="AT146" s="7"/>
      <c r="AU146" s="24"/>
      <c r="AV146" s="24"/>
      <c r="AW146" s="24"/>
      <c r="AX146" s="3"/>
      <c r="AY146" s="3"/>
      <c r="AZ146" s="3"/>
      <c r="BA146" s="3"/>
      <c r="BB146" s="3"/>
      <c r="BC146" s="24"/>
      <c r="BD146" s="24"/>
      <c r="BE146" s="24"/>
      <c r="BF146" s="3"/>
      <c r="BG146" s="3"/>
      <c r="BH146" s="3"/>
      <c r="BI146" s="3"/>
      <c r="BJ146" s="3"/>
      <c r="BK146" s="3"/>
      <c r="BR146" s="3"/>
    </row>
    <row r="147" spans="2:70" customFormat="1" x14ac:dyDescent="0.3">
      <c r="B147" s="6"/>
      <c r="C147" s="6"/>
      <c r="D147" s="6"/>
      <c r="E147" s="3"/>
      <c r="F147" s="23"/>
      <c r="G147" s="3"/>
      <c r="H147" s="3"/>
      <c r="M147" s="11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7"/>
      <c r="AE147" s="7"/>
      <c r="AF147" s="7"/>
      <c r="AG147" s="7"/>
      <c r="AH147" s="3"/>
      <c r="AI147" s="3"/>
      <c r="AJ147" s="3"/>
      <c r="AK147" s="3"/>
      <c r="AL147" s="7"/>
      <c r="AM147" s="22"/>
      <c r="AN147" s="22"/>
      <c r="AO147" s="22"/>
      <c r="AP147" s="3"/>
      <c r="AQ147" s="3"/>
      <c r="AR147" s="3"/>
      <c r="AS147" s="3"/>
      <c r="AT147" s="7"/>
      <c r="AU147" s="24"/>
      <c r="AV147" s="24"/>
      <c r="AW147" s="24"/>
      <c r="AX147" s="3"/>
      <c r="AY147" s="3"/>
      <c r="AZ147" s="3"/>
      <c r="BA147" s="3"/>
      <c r="BB147" s="3"/>
      <c r="BC147" s="24"/>
      <c r="BD147" s="24"/>
      <c r="BE147" s="24"/>
      <c r="BF147" s="3"/>
      <c r="BG147" s="3"/>
      <c r="BH147" s="3"/>
      <c r="BI147" s="3"/>
      <c r="BJ147" s="3"/>
      <c r="BK147" s="3"/>
      <c r="BR147" s="3"/>
    </row>
    <row r="148" spans="2:70" customFormat="1" x14ac:dyDescent="0.3">
      <c r="B148" s="6"/>
      <c r="C148" s="6"/>
      <c r="D148" s="6"/>
      <c r="E148" s="3"/>
      <c r="F148" s="23"/>
      <c r="G148" s="3"/>
      <c r="H148" s="3"/>
      <c r="M148" s="11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7"/>
      <c r="AE148" s="7"/>
      <c r="AF148" s="7"/>
      <c r="AG148" s="7"/>
      <c r="AH148" s="3"/>
      <c r="AI148" s="3"/>
      <c r="AJ148" s="3"/>
      <c r="AK148" s="3"/>
      <c r="AL148" s="7"/>
      <c r="AM148" s="22"/>
      <c r="AN148" s="22"/>
      <c r="AO148" s="22"/>
      <c r="AP148" s="3"/>
      <c r="AQ148" s="3"/>
      <c r="AR148" s="3"/>
      <c r="AS148" s="3"/>
      <c r="AT148" s="7"/>
      <c r="AU148" s="24"/>
      <c r="AV148" s="24"/>
      <c r="AW148" s="24"/>
      <c r="AX148" s="3"/>
      <c r="AY148" s="3"/>
      <c r="AZ148" s="3"/>
      <c r="BA148" s="3"/>
      <c r="BB148" s="3"/>
      <c r="BC148" s="24"/>
      <c r="BD148" s="24"/>
      <c r="BE148" s="24"/>
      <c r="BF148" s="3"/>
      <c r="BG148" s="3"/>
      <c r="BH148" s="3"/>
      <c r="BI148" s="3"/>
      <c r="BJ148" s="3"/>
      <c r="BK148" s="3"/>
      <c r="BR148" s="3"/>
    </row>
    <row r="149" spans="2:70" customFormat="1" x14ac:dyDescent="0.3">
      <c r="B149" s="6"/>
      <c r="C149" s="6"/>
      <c r="D149" s="6"/>
      <c r="E149" s="3"/>
      <c r="F149" s="23"/>
      <c r="G149" s="3"/>
      <c r="H149" s="3"/>
      <c r="M149" s="11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7"/>
      <c r="AE149" s="7"/>
      <c r="AF149" s="7"/>
      <c r="AG149" s="7"/>
      <c r="AH149" s="3"/>
      <c r="AI149" s="3"/>
      <c r="AJ149" s="3"/>
      <c r="AK149" s="3"/>
      <c r="AL149" s="7"/>
      <c r="AM149" s="22"/>
      <c r="AN149" s="22"/>
      <c r="AO149" s="22"/>
      <c r="AP149" s="3"/>
      <c r="AQ149" s="3"/>
      <c r="AR149" s="3"/>
      <c r="AS149" s="3"/>
      <c r="AT149" s="7"/>
      <c r="AU149" s="24"/>
      <c r="AV149" s="24"/>
      <c r="AW149" s="24"/>
      <c r="AX149" s="3"/>
      <c r="AY149" s="3"/>
      <c r="AZ149" s="3"/>
      <c r="BA149" s="3"/>
      <c r="BB149" s="3"/>
      <c r="BC149" s="24"/>
      <c r="BD149" s="24"/>
      <c r="BE149" s="24"/>
      <c r="BF149" s="3"/>
      <c r="BG149" s="3"/>
      <c r="BH149" s="3"/>
      <c r="BI149" s="3"/>
      <c r="BJ149" s="3"/>
      <c r="BK149" s="3"/>
      <c r="BR149" s="3"/>
    </row>
    <row r="150" spans="2:70" customFormat="1" x14ac:dyDescent="0.3">
      <c r="B150" s="6"/>
      <c r="C150" s="6"/>
      <c r="D150" s="6"/>
      <c r="E150" s="3"/>
      <c r="F150" s="23"/>
      <c r="G150" s="3"/>
      <c r="H150" s="3"/>
      <c r="M150" s="11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7"/>
      <c r="AE150" s="7"/>
      <c r="AF150" s="7"/>
      <c r="AG150" s="7"/>
      <c r="AH150" s="3"/>
      <c r="AI150" s="3"/>
      <c r="AJ150" s="3"/>
      <c r="AK150" s="3"/>
      <c r="AL150" s="7"/>
      <c r="AM150" s="22"/>
      <c r="AN150" s="22"/>
      <c r="AO150" s="22"/>
      <c r="AP150" s="3"/>
      <c r="AQ150" s="3"/>
      <c r="AR150" s="3"/>
      <c r="AS150" s="3"/>
      <c r="AT150" s="7"/>
      <c r="AU150" s="24"/>
      <c r="AV150" s="24"/>
      <c r="AW150" s="24"/>
      <c r="AX150" s="3"/>
      <c r="AY150" s="3"/>
      <c r="AZ150" s="3"/>
      <c r="BA150" s="3"/>
      <c r="BB150" s="3"/>
      <c r="BC150" s="24"/>
      <c r="BD150" s="24"/>
      <c r="BE150" s="24"/>
      <c r="BF150" s="3"/>
      <c r="BG150" s="3"/>
      <c r="BH150" s="3"/>
      <c r="BI150" s="3"/>
      <c r="BJ150" s="3"/>
      <c r="BK150" s="3"/>
      <c r="BR150" s="3"/>
    </row>
    <row r="151" spans="2:70" customFormat="1" x14ac:dyDescent="0.3">
      <c r="B151" s="6"/>
      <c r="C151" s="6"/>
      <c r="D151" s="6"/>
      <c r="E151" s="3"/>
      <c r="F151" s="23"/>
      <c r="G151" s="3"/>
      <c r="H151" s="3"/>
      <c r="M151" s="11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7"/>
      <c r="AE151" s="7"/>
      <c r="AF151" s="7"/>
      <c r="AG151" s="7"/>
      <c r="AH151" s="3"/>
      <c r="AI151" s="3"/>
      <c r="AJ151" s="3"/>
      <c r="AK151" s="3"/>
      <c r="AL151" s="7"/>
      <c r="AM151" s="22"/>
      <c r="AN151" s="22"/>
      <c r="AO151" s="22"/>
      <c r="AP151" s="3"/>
      <c r="AQ151" s="3"/>
      <c r="AR151" s="3"/>
      <c r="AS151" s="3"/>
      <c r="AT151" s="7"/>
      <c r="AU151" s="24"/>
      <c r="AV151" s="24"/>
      <c r="AW151" s="24"/>
      <c r="AX151" s="3"/>
      <c r="AY151" s="3"/>
      <c r="AZ151" s="3"/>
      <c r="BA151" s="3"/>
      <c r="BB151" s="3"/>
      <c r="BC151" s="24"/>
      <c r="BD151" s="24"/>
      <c r="BE151" s="24"/>
      <c r="BF151" s="3"/>
      <c r="BG151" s="3"/>
      <c r="BH151" s="3"/>
      <c r="BI151" s="3"/>
      <c r="BJ151" s="3"/>
      <c r="BK151" s="3"/>
      <c r="BR151" s="3"/>
    </row>
    <row r="152" spans="2:70" customFormat="1" x14ac:dyDescent="0.3">
      <c r="B152" s="6"/>
      <c r="C152" s="6"/>
      <c r="D152" s="6"/>
      <c r="E152" s="3"/>
      <c r="F152" s="23"/>
      <c r="G152" s="3"/>
      <c r="H152" s="3"/>
      <c r="M152" s="11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7"/>
      <c r="AE152" s="7"/>
      <c r="AF152" s="7"/>
      <c r="AG152" s="7"/>
      <c r="AH152" s="3"/>
      <c r="AI152" s="3"/>
      <c r="AJ152" s="3"/>
      <c r="AK152" s="3"/>
      <c r="AL152" s="7"/>
      <c r="AM152" s="22"/>
      <c r="AN152" s="22"/>
      <c r="AO152" s="22"/>
      <c r="AP152" s="3"/>
      <c r="AQ152" s="3"/>
      <c r="AR152" s="3"/>
      <c r="AS152" s="3"/>
      <c r="AT152" s="7"/>
      <c r="AU152" s="24"/>
      <c r="AV152" s="24"/>
      <c r="AW152" s="24"/>
      <c r="AX152" s="3"/>
      <c r="AY152" s="3"/>
      <c r="AZ152" s="3"/>
      <c r="BA152" s="3"/>
      <c r="BB152" s="3"/>
      <c r="BC152" s="24"/>
      <c r="BD152" s="24"/>
      <c r="BE152" s="24"/>
      <c r="BF152" s="3"/>
      <c r="BG152" s="3"/>
      <c r="BH152" s="3"/>
      <c r="BI152" s="3"/>
      <c r="BJ152" s="3"/>
      <c r="BK152" s="3"/>
      <c r="BR152" s="3"/>
    </row>
    <row r="153" spans="2:70" customFormat="1" x14ac:dyDescent="0.3">
      <c r="B153" s="6"/>
      <c r="C153" s="6"/>
      <c r="D153" s="6"/>
      <c r="E153" s="3"/>
      <c r="F153" s="23"/>
      <c r="G153" s="3"/>
      <c r="H153" s="3"/>
      <c r="M153" s="11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7"/>
      <c r="AE153" s="7"/>
      <c r="AF153" s="7"/>
      <c r="AG153" s="7"/>
      <c r="AH153" s="3"/>
      <c r="AI153" s="3"/>
      <c r="AJ153" s="3"/>
      <c r="AK153" s="3"/>
      <c r="AL153" s="7"/>
      <c r="AM153" s="22"/>
      <c r="AN153" s="22"/>
      <c r="AO153" s="22"/>
      <c r="AP153" s="3"/>
      <c r="AQ153" s="3"/>
      <c r="AR153" s="3"/>
      <c r="AS153" s="3"/>
      <c r="AT153" s="7"/>
      <c r="AU153" s="24"/>
      <c r="AV153" s="24"/>
      <c r="AW153" s="24"/>
      <c r="AX153" s="3"/>
      <c r="AY153" s="3"/>
      <c r="AZ153" s="3"/>
      <c r="BA153" s="3"/>
      <c r="BB153" s="3"/>
      <c r="BC153" s="24"/>
      <c r="BD153" s="24"/>
      <c r="BE153" s="24"/>
      <c r="BF153" s="3"/>
      <c r="BG153" s="3"/>
      <c r="BH153" s="3"/>
      <c r="BI153" s="3"/>
      <c r="BJ153" s="3"/>
      <c r="BK153" s="3"/>
      <c r="BR153" s="3"/>
    </row>
    <row r="154" spans="2:70" customFormat="1" x14ac:dyDescent="0.3">
      <c r="B154" s="6"/>
      <c r="C154" s="6"/>
      <c r="D154" s="6"/>
      <c r="E154" s="3"/>
      <c r="F154" s="23"/>
      <c r="G154" s="3"/>
      <c r="H154" s="3"/>
      <c r="M154" s="11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7"/>
      <c r="AE154" s="7"/>
      <c r="AF154" s="7"/>
      <c r="AG154" s="7"/>
      <c r="AH154" s="3"/>
      <c r="AI154" s="3"/>
      <c r="AJ154" s="3"/>
      <c r="AK154" s="3"/>
      <c r="AL154" s="7"/>
      <c r="AM154" s="22"/>
      <c r="AN154" s="22"/>
      <c r="AO154" s="22"/>
      <c r="AP154" s="3"/>
      <c r="AQ154" s="3"/>
      <c r="AR154" s="3"/>
      <c r="AS154" s="3"/>
      <c r="AT154" s="7"/>
      <c r="AU154" s="24"/>
      <c r="AV154" s="24"/>
      <c r="AW154" s="24"/>
      <c r="AX154" s="3"/>
      <c r="AY154" s="3"/>
      <c r="AZ154" s="3"/>
      <c r="BA154" s="3"/>
      <c r="BB154" s="3"/>
      <c r="BC154" s="24"/>
      <c r="BD154" s="24"/>
      <c r="BE154" s="24"/>
      <c r="BF154" s="3"/>
      <c r="BG154" s="3"/>
      <c r="BH154" s="3"/>
      <c r="BI154" s="3"/>
      <c r="BJ154" s="3"/>
      <c r="BK154" s="3"/>
      <c r="BR154" s="3"/>
    </row>
    <row r="155" spans="2:70" customFormat="1" x14ac:dyDescent="0.3">
      <c r="B155" s="6"/>
      <c r="C155" s="6"/>
      <c r="D155" s="6"/>
      <c r="E155" s="3"/>
      <c r="F155" s="23"/>
      <c r="G155" s="3"/>
      <c r="H155" s="3"/>
      <c r="M155" s="11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7"/>
      <c r="AE155" s="7"/>
      <c r="AF155" s="7"/>
      <c r="AG155" s="7"/>
      <c r="AH155" s="3"/>
      <c r="AI155" s="3"/>
      <c r="AJ155" s="3"/>
      <c r="AK155" s="3"/>
      <c r="AL155" s="7"/>
      <c r="AM155" s="22"/>
      <c r="AN155" s="22"/>
      <c r="AO155" s="22"/>
      <c r="AP155" s="3"/>
      <c r="AQ155" s="3"/>
      <c r="AR155" s="3"/>
      <c r="AS155" s="3"/>
      <c r="AT155" s="7"/>
      <c r="AU155" s="24"/>
      <c r="AV155" s="24"/>
      <c r="AW155" s="24"/>
      <c r="AX155" s="3"/>
      <c r="AY155" s="3"/>
      <c r="AZ155" s="3"/>
      <c r="BA155" s="3"/>
      <c r="BB155" s="3"/>
      <c r="BC155" s="24"/>
      <c r="BD155" s="24"/>
      <c r="BE155" s="24"/>
      <c r="BF155" s="3"/>
      <c r="BG155" s="3"/>
      <c r="BH155" s="3"/>
      <c r="BI155" s="3"/>
      <c r="BJ155" s="3"/>
      <c r="BK155" s="3"/>
      <c r="BR155" s="3"/>
    </row>
    <row r="156" spans="2:70" customFormat="1" x14ac:dyDescent="0.3">
      <c r="B156" s="6"/>
      <c r="C156" s="6"/>
      <c r="D156" s="6"/>
      <c r="E156" s="3"/>
      <c r="F156" s="23"/>
      <c r="G156" s="3"/>
      <c r="H156" s="3"/>
      <c r="M156" s="11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7"/>
      <c r="AE156" s="7"/>
      <c r="AF156" s="7"/>
      <c r="AG156" s="7"/>
      <c r="AH156" s="3"/>
      <c r="AI156" s="3"/>
      <c r="AJ156" s="3"/>
      <c r="AK156" s="3"/>
      <c r="AL156" s="7"/>
      <c r="AM156" s="22"/>
      <c r="AN156" s="22"/>
      <c r="AO156" s="22"/>
      <c r="AP156" s="3"/>
      <c r="AQ156" s="3"/>
      <c r="AR156" s="3"/>
      <c r="AS156" s="3"/>
      <c r="AT156" s="7"/>
      <c r="AU156" s="24"/>
      <c r="AV156" s="24"/>
      <c r="AW156" s="24"/>
      <c r="AX156" s="3"/>
      <c r="AY156" s="3"/>
      <c r="AZ156" s="3"/>
      <c r="BA156" s="3"/>
      <c r="BB156" s="3"/>
      <c r="BC156" s="24"/>
      <c r="BD156" s="24"/>
      <c r="BE156" s="24"/>
      <c r="BF156" s="3"/>
      <c r="BG156" s="3"/>
      <c r="BH156" s="3"/>
      <c r="BI156" s="3"/>
      <c r="BJ156" s="3"/>
      <c r="BK156" s="3"/>
      <c r="BR156" s="3"/>
    </row>
    <row r="157" spans="2:70" customFormat="1" x14ac:dyDescent="0.3">
      <c r="B157" s="6"/>
      <c r="C157" s="6"/>
      <c r="D157" s="6"/>
      <c r="E157" s="3"/>
      <c r="F157" s="23"/>
      <c r="G157" s="3"/>
      <c r="H157" s="3"/>
      <c r="M157" s="11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7"/>
      <c r="AE157" s="7"/>
      <c r="AF157" s="7"/>
      <c r="AG157" s="7"/>
      <c r="AH157" s="3"/>
      <c r="AI157" s="3"/>
      <c r="AJ157" s="3"/>
      <c r="AK157" s="3"/>
      <c r="AL157" s="7"/>
      <c r="AM157" s="22"/>
      <c r="AN157" s="22"/>
      <c r="AO157" s="22"/>
      <c r="AP157" s="3"/>
      <c r="AQ157" s="3"/>
      <c r="AR157" s="3"/>
      <c r="AS157" s="3"/>
      <c r="AT157" s="7"/>
      <c r="AU157" s="24"/>
      <c r="AV157" s="24"/>
      <c r="AW157" s="24"/>
      <c r="AX157" s="3"/>
      <c r="AY157" s="3"/>
      <c r="AZ157" s="3"/>
      <c r="BA157" s="3"/>
      <c r="BB157" s="3"/>
      <c r="BC157" s="24"/>
      <c r="BD157" s="24"/>
      <c r="BE157" s="24"/>
      <c r="BF157" s="3"/>
      <c r="BG157" s="3"/>
      <c r="BH157" s="3"/>
      <c r="BI157" s="3"/>
      <c r="BJ157" s="3"/>
      <c r="BK157" s="3"/>
      <c r="BR157" s="3"/>
    </row>
    <row r="158" spans="2:70" customFormat="1" x14ac:dyDescent="0.3">
      <c r="B158" s="6"/>
      <c r="C158" s="6"/>
      <c r="D158" s="6"/>
      <c r="E158" s="3"/>
      <c r="F158" s="23"/>
      <c r="G158" s="3"/>
      <c r="H158" s="3"/>
      <c r="M158" s="11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7"/>
      <c r="AE158" s="7"/>
      <c r="AF158" s="7"/>
      <c r="AG158" s="7"/>
      <c r="AH158" s="3"/>
      <c r="AI158" s="3"/>
      <c r="AJ158" s="3"/>
      <c r="AK158" s="3"/>
      <c r="AL158" s="7"/>
      <c r="AM158" s="22"/>
      <c r="AN158" s="22"/>
      <c r="AO158" s="22"/>
      <c r="AP158" s="3"/>
      <c r="AQ158" s="3"/>
      <c r="AR158" s="3"/>
      <c r="AS158" s="3"/>
      <c r="AT158" s="7"/>
      <c r="AU158" s="24"/>
      <c r="AV158" s="24"/>
      <c r="AW158" s="24"/>
      <c r="AX158" s="3"/>
      <c r="AY158" s="3"/>
      <c r="AZ158" s="3"/>
      <c r="BA158" s="3"/>
      <c r="BB158" s="3"/>
      <c r="BC158" s="24"/>
      <c r="BD158" s="24"/>
      <c r="BE158" s="24"/>
      <c r="BF158" s="3"/>
      <c r="BG158" s="3"/>
      <c r="BH158" s="3"/>
      <c r="BI158" s="3"/>
      <c r="BJ158" s="3"/>
      <c r="BK158" s="3"/>
      <c r="BR158" s="3"/>
    </row>
    <row r="159" spans="2:70" customFormat="1" x14ac:dyDescent="0.3">
      <c r="B159" s="6"/>
      <c r="C159" s="6"/>
      <c r="D159" s="6"/>
      <c r="E159" s="3"/>
      <c r="F159" s="23"/>
      <c r="G159" s="3"/>
      <c r="H159" s="3"/>
      <c r="M159" s="11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7"/>
      <c r="AE159" s="7"/>
      <c r="AF159" s="7"/>
      <c r="AG159" s="7"/>
      <c r="AH159" s="3"/>
      <c r="AI159" s="3"/>
      <c r="AJ159" s="3"/>
      <c r="AK159" s="3"/>
      <c r="AL159" s="7"/>
      <c r="AM159" s="22"/>
      <c r="AN159" s="22"/>
      <c r="AO159" s="22"/>
      <c r="AP159" s="3"/>
      <c r="AQ159" s="3"/>
      <c r="AR159" s="3"/>
      <c r="AS159" s="3"/>
      <c r="AT159" s="7"/>
      <c r="AU159" s="24"/>
      <c r="AV159" s="24"/>
      <c r="AW159" s="24"/>
      <c r="AX159" s="3"/>
      <c r="AY159" s="3"/>
      <c r="AZ159" s="3"/>
      <c r="BA159" s="3"/>
      <c r="BB159" s="3"/>
      <c r="BC159" s="24"/>
      <c r="BD159" s="24"/>
      <c r="BE159" s="24"/>
      <c r="BF159" s="3"/>
      <c r="BG159" s="3"/>
      <c r="BH159" s="3"/>
      <c r="BI159" s="3"/>
      <c r="BJ159" s="3"/>
      <c r="BK159" s="3"/>
      <c r="BR159" s="3"/>
    </row>
    <row r="160" spans="2:70" customFormat="1" x14ac:dyDescent="0.3">
      <c r="B160" s="6"/>
      <c r="C160" s="6"/>
      <c r="D160" s="6"/>
      <c r="E160" s="3"/>
      <c r="F160" s="23"/>
      <c r="G160" s="3"/>
      <c r="H160" s="3"/>
      <c r="M160" s="11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7"/>
      <c r="AE160" s="7"/>
      <c r="AF160" s="7"/>
      <c r="AG160" s="7"/>
      <c r="AH160" s="3"/>
      <c r="AI160" s="3"/>
      <c r="AJ160" s="3"/>
      <c r="AK160" s="3"/>
      <c r="AL160" s="7"/>
      <c r="AM160" s="22"/>
      <c r="AN160" s="22"/>
      <c r="AO160" s="22"/>
      <c r="AP160" s="3"/>
      <c r="AQ160" s="3"/>
      <c r="AR160" s="3"/>
      <c r="AS160" s="3"/>
      <c r="AT160" s="7"/>
      <c r="AU160" s="24"/>
      <c r="AV160" s="24"/>
      <c r="AW160" s="24"/>
      <c r="AX160" s="3"/>
      <c r="AY160" s="3"/>
      <c r="AZ160" s="3"/>
      <c r="BA160" s="3"/>
      <c r="BB160" s="3"/>
      <c r="BC160" s="24"/>
      <c r="BD160" s="24"/>
      <c r="BE160" s="24"/>
      <c r="BF160" s="3"/>
      <c r="BG160" s="3"/>
      <c r="BH160" s="3"/>
      <c r="BI160" s="3"/>
      <c r="BJ160" s="3"/>
      <c r="BK160" s="3"/>
      <c r="BR160" s="3"/>
    </row>
    <row r="161" spans="2:70" customFormat="1" x14ac:dyDescent="0.3">
      <c r="B161" s="6"/>
      <c r="C161" s="6"/>
      <c r="D161" s="6"/>
      <c r="E161" s="3"/>
      <c r="F161" s="23"/>
      <c r="G161" s="3"/>
      <c r="H161" s="3"/>
      <c r="M161" s="11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7"/>
      <c r="AE161" s="7"/>
      <c r="AF161" s="7"/>
      <c r="AG161" s="7"/>
      <c r="AH161" s="3"/>
      <c r="AI161" s="3"/>
      <c r="AJ161" s="3"/>
      <c r="AK161" s="3"/>
      <c r="AL161" s="7"/>
      <c r="AM161" s="22"/>
      <c r="AN161" s="22"/>
      <c r="AO161" s="22"/>
      <c r="AP161" s="3"/>
      <c r="AQ161" s="3"/>
      <c r="AR161" s="3"/>
      <c r="AS161" s="3"/>
      <c r="AT161" s="7"/>
      <c r="AU161" s="24"/>
      <c r="AV161" s="24"/>
      <c r="AW161" s="24"/>
      <c r="AX161" s="3"/>
      <c r="AY161" s="3"/>
      <c r="AZ161" s="3"/>
      <c r="BA161" s="3"/>
      <c r="BB161" s="3"/>
      <c r="BC161" s="24"/>
      <c r="BD161" s="24"/>
      <c r="BE161" s="24"/>
      <c r="BF161" s="3"/>
      <c r="BG161" s="3"/>
      <c r="BH161" s="3"/>
      <c r="BI161" s="3"/>
      <c r="BJ161" s="3"/>
      <c r="BK161" s="3"/>
      <c r="BR161" s="3"/>
    </row>
    <row r="162" spans="2:70" customFormat="1" x14ac:dyDescent="0.3">
      <c r="B162" s="6"/>
      <c r="C162" s="6"/>
      <c r="D162" s="6"/>
      <c r="E162" s="3"/>
      <c r="F162" s="23"/>
      <c r="G162" s="3"/>
      <c r="H162" s="3"/>
      <c r="M162" s="11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7"/>
      <c r="AE162" s="7"/>
      <c r="AF162" s="7"/>
      <c r="AG162" s="7"/>
      <c r="AH162" s="3"/>
      <c r="AI162" s="3"/>
      <c r="AJ162" s="3"/>
      <c r="AK162" s="3"/>
      <c r="AL162" s="7"/>
      <c r="AM162" s="22"/>
      <c r="AN162" s="22"/>
      <c r="AO162" s="22"/>
      <c r="AP162" s="3"/>
      <c r="AQ162" s="3"/>
      <c r="AR162" s="3"/>
      <c r="AS162" s="3"/>
      <c r="AT162" s="7"/>
      <c r="AU162" s="24"/>
      <c r="AV162" s="24"/>
      <c r="AW162" s="24"/>
      <c r="AX162" s="3"/>
      <c r="AY162" s="3"/>
      <c r="AZ162" s="3"/>
      <c r="BA162" s="3"/>
      <c r="BB162" s="3"/>
      <c r="BC162" s="24"/>
      <c r="BD162" s="24"/>
      <c r="BE162" s="24"/>
      <c r="BF162" s="3"/>
      <c r="BG162" s="3"/>
      <c r="BH162" s="3"/>
      <c r="BI162" s="3"/>
      <c r="BJ162" s="3"/>
      <c r="BK162" s="3"/>
      <c r="BR162" s="3"/>
    </row>
    <row r="163" spans="2:70" customFormat="1" x14ac:dyDescent="0.3">
      <c r="B163" s="6"/>
      <c r="C163" s="6"/>
      <c r="D163" s="6"/>
      <c r="E163" s="3"/>
      <c r="F163" s="23"/>
      <c r="G163" s="3"/>
      <c r="H163" s="3"/>
      <c r="M163" s="11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7"/>
      <c r="AE163" s="7"/>
      <c r="AF163" s="7"/>
      <c r="AG163" s="7"/>
      <c r="AH163" s="3"/>
      <c r="AI163" s="3"/>
      <c r="AJ163" s="3"/>
      <c r="AK163" s="3"/>
      <c r="AL163" s="7"/>
      <c r="AM163" s="22"/>
      <c r="AN163" s="22"/>
      <c r="AO163" s="22"/>
      <c r="AP163" s="3"/>
      <c r="AQ163" s="3"/>
      <c r="AR163" s="3"/>
      <c r="AS163" s="3"/>
      <c r="AT163" s="7"/>
      <c r="AU163" s="24"/>
      <c r="AV163" s="24"/>
      <c r="AW163" s="24"/>
      <c r="AX163" s="3"/>
      <c r="AY163" s="3"/>
      <c r="AZ163" s="3"/>
      <c r="BA163" s="3"/>
      <c r="BB163" s="3"/>
      <c r="BC163" s="24"/>
      <c r="BD163" s="24"/>
      <c r="BE163" s="24"/>
      <c r="BF163" s="3"/>
      <c r="BG163" s="3"/>
      <c r="BH163" s="3"/>
      <c r="BI163" s="3"/>
      <c r="BJ163" s="3"/>
      <c r="BK163" s="3"/>
      <c r="BR163" s="3"/>
    </row>
    <row r="164" spans="2:70" customFormat="1" x14ac:dyDescent="0.3">
      <c r="B164" s="6"/>
      <c r="C164" s="6"/>
      <c r="D164" s="6"/>
      <c r="E164" s="3"/>
      <c r="F164" s="23"/>
      <c r="G164" s="3"/>
      <c r="H164" s="3"/>
      <c r="M164" s="11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7"/>
      <c r="AE164" s="7"/>
      <c r="AF164" s="7"/>
      <c r="AG164" s="7"/>
      <c r="AH164" s="3"/>
      <c r="AI164" s="3"/>
      <c r="AJ164" s="3"/>
      <c r="AK164" s="3"/>
      <c r="AL164" s="7"/>
      <c r="AM164" s="22"/>
      <c r="AN164" s="22"/>
      <c r="AO164" s="22"/>
      <c r="AP164" s="3"/>
      <c r="AQ164" s="3"/>
      <c r="AR164" s="3"/>
      <c r="AS164" s="3"/>
      <c r="AT164" s="7"/>
      <c r="AU164" s="24"/>
      <c r="AV164" s="24"/>
      <c r="AW164" s="24"/>
      <c r="AX164" s="3"/>
      <c r="AY164" s="3"/>
      <c r="AZ164" s="3"/>
      <c r="BA164" s="3"/>
      <c r="BB164" s="3"/>
      <c r="BC164" s="24"/>
      <c r="BD164" s="24"/>
      <c r="BE164" s="24"/>
      <c r="BF164" s="3"/>
      <c r="BG164" s="3"/>
      <c r="BH164" s="3"/>
      <c r="BI164" s="3"/>
      <c r="BJ164" s="3"/>
      <c r="BK164" s="3"/>
      <c r="BR164" s="3"/>
    </row>
    <row r="165" spans="2:70" customFormat="1" x14ac:dyDescent="0.3">
      <c r="B165" s="6"/>
      <c r="C165" s="6"/>
      <c r="D165" s="6"/>
      <c r="E165" s="3"/>
      <c r="F165" s="23"/>
      <c r="G165" s="3"/>
      <c r="H165" s="3"/>
      <c r="M165" s="11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7"/>
      <c r="AE165" s="7"/>
      <c r="AF165" s="7"/>
      <c r="AG165" s="7"/>
      <c r="AH165" s="3"/>
      <c r="AI165" s="3"/>
      <c r="AJ165" s="3"/>
      <c r="AK165" s="3"/>
      <c r="AL165" s="7"/>
      <c r="AM165" s="22"/>
      <c r="AN165" s="22"/>
      <c r="AO165" s="22"/>
      <c r="AP165" s="3"/>
      <c r="AQ165" s="3"/>
      <c r="AR165" s="3"/>
      <c r="AS165" s="3"/>
      <c r="AT165" s="7"/>
      <c r="AU165" s="24"/>
      <c r="AV165" s="24"/>
      <c r="AW165" s="24"/>
      <c r="AX165" s="3"/>
      <c r="AY165" s="3"/>
      <c r="AZ165" s="3"/>
      <c r="BA165" s="3"/>
      <c r="BB165" s="3"/>
      <c r="BC165" s="24"/>
      <c r="BD165" s="24"/>
      <c r="BE165" s="24"/>
      <c r="BF165" s="3"/>
      <c r="BG165" s="3"/>
      <c r="BH165" s="3"/>
      <c r="BI165" s="3"/>
      <c r="BJ165" s="3"/>
      <c r="BK165" s="3"/>
      <c r="BR165" s="3"/>
    </row>
    <row r="166" spans="2:70" customFormat="1" x14ac:dyDescent="0.3">
      <c r="B166" s="6"/>
      <c r="C166" s="6"/>
      <c r="D166" s="6"/>
      <c r="E166" s="3"/>
      <c r="F166" s="23"/>
      <c r="G166" s="3"/>
      <c r="H166" s="3"/>
      <c r="M166" s="11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7"/>
      <c r="AE166" s="7"/>
      <c r="AF166" s="7"/>
      <c r="AG166" s="7"/>
      <c r="AH166" s="3"/>
      <c r="AI166" s="3"/>
      <c r="AJ166" s="3"/>
      <c r="AK166" s="3"/>
      <c r="AL166" s="7"/>
      <c r="AM166" s="22"/>
      <c r="AN166" s="22"/>
      <c r="AO166" s="22"/>
      <c r="AP166" s="3"/>
      <c r="AQ166" s="3"/>
      <c r="AR166" s="3"/>
      <c r="AS166" s="3"/>
      <c r="AT166" s="7"/>
      <c r="AU166" s="24"/>
      <c r="AV166" s="24"/>
      <c r="AW166" s="24"/>
      <c r="AX166" s="3"/>
      <c r="AY166" s="3"/>
      <c r="AZ166" s="3"/>
      <c r="BA166" s="3"/>
      <c r="BB166" s="3"/>
      <c r="BC166" s="24"/>
      <c r="BD166" s="24"/>
      <c r="BE166" s="24"/>
      <c r="BF166" s="3"/>
      <c r="BG166" s="3"/>
      <c r="BH166" s="3"/>
      <c r="BI166" s="3"/>
      <c r="BJ166" s="3"/>
      <c r="BK166" s="3"/>
      <c r="BR166" s="3"/>
    </row>
    <row r="167" spans="2:70" customFormat="1" x14ac:dyDescent="0.3">
      <c r="B167" s="6"/>
      <c r="C167" s="6"/>
      <c r="D167" s="6"/>
      <c r="E167" s="3"/>
      <c r="F167" s="23"/>
      <c r="G167" s="3"/>
      <c r="H167" s="3"/>
      <c r="M167" s="11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7"/>
      <c r="AE167" s="7"/>
      <c r="AF167" s="7"/>
      <c r="AG167" s="7"/>
      <c r="AH167" s="3"/>
      <c r="AI167" s="3"/>
      <c r="AJ167" s="3"/>
      <c r="AK167" s="3"/>
      <c r="AL167" s="7"/>
      <c r="AM167" s="22"/>
      <c r="AN167" s="22"/>
      <c r="AO167" s="22"/>
      <c r="AP167" s="3"/>
      <c r="AQ167" s="3"/>
      <c r="AR167" s="3"/>
      <c r="AS167" s="3"/>
      <c r="AT167" s="7"/>
      <c r="AU167" s="24"/>
      <c r="AV167" s="24"/>
      <c r="AW167" s="24"/>
      <c r="AX167" s="3"/>
      <c r="AY167" s="3"/>
      <c r="AZ167" s="3"/>
      <c r="BA167" s="3"/>
      <c r="BB167" s="3"/>
      <c r="BC167" s="24"/>
      <c r="BD167" s="24"/>
      <c r="BE167" s="24"/>
      <c r="BF167" s="3"/>
      <c r="BG167" s="3"/>
      <c r="BH167" s="3"/>
      <c r="BI167" s="3"/>
      <c r="BJ167" s="3"/>
      <c r="BK167" s="3"/>
      <c r="BR167" s="3"/>
    </row>
    <row r="168" spans="2:70" customFormat="1" x14ac:dyDescent="0.3">
      <c r="B168" s="6"/>
      <c r="C168" s="6"/>
      <c r="D168" s="6"/>
      <c r="E168" s="3"/>
      <c r="F168" s="23"/>
      <c r="G168" s="3"/>
      <c r="H168" s="3"/>
      <c r="M168" s="11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7"/>
      <c r="AE168" s="7"/>
      <c r="AF168" s="7"/>
      <c r="AG168" s="7"/>
      <c r="AH168" s="3"/>
      <c r="AI168" s="3"/>
      <c r="AJ168" s="3"/>
      <c r="AK168" s="3"/>
      <c r="AL168" s="7"/>
      <c r="AM168" s="22"/>
      <c r="AN168" s="22"/>
      <c r="AO168" s="22"/>
      <c r="AP168" s="3"/>
      <c r="AQ168" s="3"/>
      <c r="AR168" s="3"/>
      <c r="AS168" s="3"/>
      <c r="AT168" s="7"/>
      <c r="AU168" s="24"/>
      <c r="AV168" s="24"/>
      <c r="AW168" s="24"/>
      <c r="AX168" s="3"/>
      <c r="AY168" s="3"/>
      <c r="AZ168" s="3"/>
      <c r="BA168" s="3"/>
      <c r="BB168" s="3"/>
      <c r="BC168" s="24"/>
      <c r="BD168" s="24"/>
      <c r="BE168" s="24"/>
      <c r="BF168" s="3"/>
      <c r="BG168" s="3"/>
      <c r="BH168" s="3"/>
      <c r="BI168" s="3"/>
      <c r="BJ168" s="3"/>
      <c r="BK168" s="3"/>
      <c r="BR168" s="3"/>
    </row>
    <row r="169" spans="2:70" customFormat="1" x14ac:dyDescent="0.3">
      <c r="B169" s="6"/>
      <c r="C169" s="6"/>
      <c r="D169" s="6"/>
      <c r="E169" s="3"/>
      <c r="F169" s="23"/>
      <c r="G169" s="3"/>
      <c r="H169" s="3"/>
      <c r="M169" s="11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7"/>
      <c r="AE169" s="7"/>
      <c r="AF169" s="7"/>
      <c r="AG169" s="7"/>
      <c r="AH169" s="3"/>
      <c r="AI169" s="3"/>
      <c r="AJ169" s="3"/>
      <c r="AK169" s="3"/>
      <c r="AL169" s="7"/>
      <c r="AM169" s="22"/>
      <c r="AN169" s="22"/>
      <c r="AO169" s="22"/>
      <c r="AP169" s="3"/>
      <c r="AQ169" s="3"/>
      <c r="AR169" s="3"/>
      <c r="AS169" s="3"/>
      <c r="AT169" s="7"/>
      <c r="AU169" s="24"/>
      <c r="AV169" s="24"/>
      <c r="AW169" s="24"/>
      <c r="AX169" s="3"/>
      <c r="AY169" s="3"/>
      <c r="AZ169" s="3"/>
      <c r="BA169" s="3"/>
      <c r="BB169" s="3"/>
      <c r="BC169" s="24"/>
      <c r="BD169" s="24"/>
      <c r="BE169" s="24"/>
      <c r="BF169" s="3"/>
      <c r="BG169" s="3"/>
      <c r="BH169" s="3"/>
      <c r="BI169" s="3"/>
      <c r="BJ169" s="3"/>
      <c r="BK169" s="3"/>
      <c r="BR169" s="3"/>
    </row>
    <row r="170" spans="2:70" customFormat="1" x14ac:dyDescent="0.3">
      <c r="B170" s="6"/>
      <c r="C170" s="6"/>
      <c r="D170" s="6"/>
      <c r="E170" s="3"/>
      <c r="F170" s="23"/>
      <c r="G170" s="3"/>
      <c r="H170" s="3"/>
      <c r="M170" s="11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7"/>
      <c r="AE170" s="7"/>
      <c r="AF170" s="7"/>
      <c r="AG170" s="7"/>
      <c r="AH170" s="3"/>
      <c r="AI170" s="3"/>
      <c r="AJ170" s="3"/>
      <c r="AK170" s="3"/>
      <c r="AL170" s="7"/>
      <c r="AM170" s="22"/>
      <c r="AN170" s="22"/>
      <c r="AO170" s="22"/>
      <c r="AP170" s="3"/>
      <c r="AQ170" s="3"/>
      <c r="AR170" s="3"/>
      <c r="AS170" s="3"/>
      <c r="AT170" s="7"/>
      <c r="AU170" s="24"/>
      <c r="AV170" s="24"/>
      <c r="AW170" s="24"/>
      <c r="AX170" s="3"/>
      <c r="AY170" s="3"/>
      <c r="AZ170" s="3"/>
      <c r="BA170" s="3"/>
      <c r="BB170" s="3"/>
      <c r="BC170" s="24"/>
      <c r="BD170" s="24"/>
      <c r="BE170" s="24"/>
      <c r="BF170" s="3"/>
      <c r="BG170" s="3"/>
      <c r="BH170" s="3"/>
      <c r="BI170" s="3"/>
      <c r="BJ170" s="3"/>
      <c r="BK170" s="3"/>
      <c r="BR170" s="3"/>
    </row>
    <row r="171" spans="2:70" customFormat="1" x14ac:dyDescent="0.3">
      <c r="B171" s="6"/>
      <c r="C171" s="6"/>
      <c r="D171" s="6"/>
      <c r="E171" s="3"/>
      <c r="F171" s="23"/>
      <c r="G171" s="3"/>
      <c r="H171" s="3"/>
      <c r="M171" s="11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7"/>
      <c r="AE171" s="7"/>
      <c r="AF171" s="7"/>
      <c r="AG171" s="7"/>
      <c r="AH171" s="3"/>
      <c r="AI171" s="3"/>
      <c r="AJ171" s="3"/>
      <c r="AK171" s="3"/>
      <c r="AL171" s="7"/>
      <c r="AM171" s="22"/>
      <c r="AN171" s="22"/>
      <c r="AO171" s="22"/>
      <c r="AP171" s="3"/>
      <c r="AQ171" s="3"/>
      <c r="AR171" s="3"/>
      <c r="AS171" s="3"/>
      <c r="AT171" s="7"/>
      <c r="AU171" s="24"/>
      <c r="AV171" s="24"/>
      <c r="AW171" s="24"/>
      <c r="AX171" s="3"/>
      <c r="AY171" s="3"/>
      <c r="AZ171" s="3"/>
      <c r="BA171" s="3"/>
      <c r="BB171" s="3"/>
      <c r="BC171" s="24"/>
      <c r="BD171" s="24"/>
      <c r="BE171" s="24"/>
      <c r="BF171" s="3"/>
      <c r="BG171" s="3"/>
      <c r="BH171" s="3"/>
      <c r="BI171" s="3"/>
      <c r="BJ171" s="3"/>
      <c r="BK171" s="3"/>
      <c r="BR171" s="3"/>
    </row>
    <row r="172" spans="2:70" customFormat="1" x14ac:dyDescent="0.3">
      <c r="B172" s="6"/>
      <c r="C172" s="6"/>
      <c r="D172" s="6"/>
      <c r="E172" s="3"/>
      <c r="F172" s="23"/>
      <c r="G172" s="3"/>
      <c r="H172" s="3"/>
      <c r="M172" s="11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7"/>
      <c r="AE172" s="7"/>
      <c r="AF172" s="7"/>
      <c r="AG172" s="7"/>
      <c r="AH172" s="3"/>
      <c r="AI172" s="3"/>
      <c r="AJ172" s="3"/>
      <c r="AK172" s="3"/>
      <c r="AL172" s="7"/>
      <c r="AM172" s="22"/>
      <c r="AN172" s="22"/>
      <c r="AO172" s="22"/>
      <c r="AP172" s="3"/>
      <c r="AQ172" s="3"/>
      <c r="AR172" s="3"/>
      <c r="AS172" s="3"/>
      <c r="AT172" s="7"/>
      <c r="AU172" s="24"/>
      <c r="AV172" s="24"/>
      <c r="AW172" s="24"/>
      <c r="AX172" s="3"/>
      <c r="AY172" s="3"/>
      <c r="AZ172" s="3"/>
      <c r="BA172" s="3"/>
      <c r="BB172" s="3"/>
      <c r="BC172" s="24"/>
      <c r="BD172" s="24"/>
      <c r="BE172" s="24"/>
      <c r="BF172" s="3"/>
      <c r="BG172" s="3"/>
      <c r="BH172" s="3"/>
      <c r="BI172" s="3"/>
      <c r="BJ172" s="3"/>
      <c r="BK172" s="3"/>
      <c r="BR172" s="3"/>
    </row>
    <row r="173" spans="2:70" customFormat="1" x14ac:dyDescent="0.3">
      <c r="B173" s="6"/>
      <c r="C173" s="6"/>
      <c r="D173" s="6"/>
      <c r="E173" s="3"/>
      <c r="F173" s="23"/>
      <c r="G173" s="3"/>
      <c r="H173" s="3"/>
      <c r="M173" s="11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7"/>
      <c r="AE173" s="7"/>
      <c r="AF173" s="7"/>
      <c r="AG173" s="7"/>
      <c r="AH173" s="3"/>
      <c r="AI173" s="3"/>
      <c r="AJ173" s="3"/>
      <c r="AK173" s="3"/>
      <c r="AL173" s="7"/>
      <c r="AM173" s="22"/>
      <c r="AN173" s="22"/>
      <c r="AO173" s="22"/>
      <c r="AP173" s="3"/>
      <c r="AQ173" s="3"/>
      <c r="AR173" s="3"/>
      <c r="AS173" s="3"/>
      <c r="AT173" s="7"/>
      <c r="AU173" s="24"/>
      <c r="AV173" s="24"/>
      <c r="AW173" s="24"/>
      <c r="AX173" s="3"/>
      <c r="AY173" s="3"/>
      <c r="AZ173" s="3"/>
      <c r="BA173" s="3"/>
      <c r="BB173" s="3"/>
      <c r="BC173" s="24"/>
      <c r="BD173" s="24"/>
      <c r="BE173" s="24"/>
      <c r="BF173" s="3"/>
      <c r="BG173" s="3"/>
      <c r="BH173" s="3"/>
      <c r="BI173" s="3"/>
      <c r="BJ173" s="3"/>
      <c r="BK173" s="3"/>
      <c r="BR173" s="3"/>
    </row>
    <row r="174" spans="2:70" customFormat="1" x14ac:dyDescent="0.3">
      <c r="B174" s="6"/>
      <c r="C174" s="6"/>
      <c r="D174" s="6"/>
      <c r="E174" s="3"/>
      <c r="F174" s="23"/>
      <c r="G174" s="3"/>
      <c r="H174" s="3"/>
      <c r="M174" s="11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7"/>
      <c r="AE174" s="7"/>
      <c r="AF174" s="7"/>
      <c r="AG174" s="7"/>
      <c r="AH174" s="3"/>
      <c r="AI174" s="3"/>
      <c r="AJ174" s="3"/>
      <c r="AK174" s="3"/>
      <c r="AL174" s="7"/>
      <c r="AM174" s="22"/>
      <c r="AN174" s="22"/>
      <c r="AO174" s="22"/>
      <c r="AP174" s="3"/>
      <c r="AQ174" s="3"/>
      <c r="AR174" s="3"/>
      <c r="AS174" s="3"/>
      <c r="AT174" s="7"/>
      <c r="AU174" s="24"/>
      <c r="AV174" s="24"/>
      <c r="AW174" s="24"/>
      <c r="AX174" s="3"/>
      <c r="AY174" s="3"/>
      <c r="AZ174" s="3"/>
      <c r="BA174" s="3"/>
      <c r="BB174" s="3"/>
      <c r="BC174" s="24"/>
      <c r="BD174" s="24"/>
      <c r="BE174" s="24"/>
      <c r="BF174" s="3"/>
      <c r="BG174" s="3"/>
      <c r="BH174" s="3"/>
      <c r="BI174" s="3"/>
      <c r="BJ174" s="3"/>
      <c r="BK174" s="3"/>
      <c r="BR174" s="3"/>
    </row>
    <row r="175" spans="2:70" customFormat="1" x14ac:dyDescent="0.3">
      <c r="B175" s="6"/>
      <c r="C175" s="6"/>
      <c r="D175" s="6"/>
      <c r="E175" s="3"/>
      <c r="F175" s="23"/>
      <c r="G175" s="3"/>
      <c r="H175" s="3"/>
      <c r="M175" s="11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7"/>
      <c r="AE175" s="7"/>
      <c r="AF175" s="7"/>
      <c r="AG175" s="7"/>
      <c r="AH175" s="3"/>
      <c r="AI175" s="3"/>
      <c r="AJ175" s="3"/>
      <c r="AK175" s="3"/>
      <c r="AL175" s="7"/>
      <c r="AM175" s="22"/>
      <c r="AN175" s="22"/>
      <c r="AO175" s="22"/>
      <c r="AP175" s="3"/>
      <c r="AQ175" s="3"/>
      <c r="AR175" s="3"/>
      <c r="AS175" s="3"/>
      <c r="AT175" s="7"/>
      <c r="AU175" s="24"/>
      <c r="AV175" s="24"/>
      <c r="AW175" s="24"/>
      <c r="AX175" s="3"/>
      <c r="AY175" s="3"/>
      <c r="AZ175" s="3"/>
      <c r="BA175" s="3"/>
      <c r="BB175" s="3"/>
      <c r="BC175" s="24"/>
      <c r="BD175" s="24"/>
      <c r="BE175" s="24"/>
      <c r="BF175" s="3"/>
      <c r="BG175" s="3"/>
      <c r="BH175" s="3"/>
      <c r="BI175" s="3"/>
      <c r="BJ175" s="3"/>
      <c r="BK175" s="3"/>
      <c r="BR175" s="3"/>
    </row>
    <row r="176" spans="2:70" customFormat="1" x14ac:dyDescent="0.3">
      <c r="B176" s="6"/>
      <c r="C176" s="6"/>
      <c r="D176" s="6"/>
      <c r="E176" s="3"/>
      <c r="F176" s="23"/>
      <c r="G176" s="3"/>
      <c r="H176" s="3"/>
      <c r="M176" s="11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7"/>
      <c r="AE176" s="7"/>
      <c r="AF176" s="7"/>
      <c r="AG176" s="7"/>
      <c r="AH176" s="3"/>
      <c r="AI176" s="3"/>
      <c r="AJ176" s="3"/>
      <c r="AK176" s="3"/>
      <c r="AL176" s="7"/>
      <c r="AM176" s="22"/>
      <c r="AN176" s="22"/>
      <c r="AO176" s="22"/>
      <c r="AP176" s="3"/>
      <c r="AQ176" s="3"/>
      <c r="AR176" s="3"/>
      <c r="AS176" s="3"/>
      <c r="AT176" s="7"/>
      <c r="AU176" s="24"/>
      <c r="AV176" s="24"/>
      <c r="AW176" s="24"/>
      <c r="AX176" s="3"/>
      <c r="AY176" s="3"/>
      <c r="AZ176" s="3"/>
      <c r="BA176" s="3"/>
      <c r="BB176" s="3"/>
      <c r="BC176" s="24"/>
      <c r="BD176" s="24"/>
      <c r="BE176" s="24"/>
      <c r="BF176" s="3"/>
      <c r="BG176" s="3"/>
      <c r="BH176" s="3"/>
      <c r="BI176" s="3"/>
      <c r="BJ176" s="3"/>
      <c r="BK176" s="3"/>
      <c r="BR176" s="3"/>
    </row>
    <row r="177" spans="2:70" customFormat="1" x14ac:dyDescent="0.3">
      <c r="B177" s="6"/>
      <c r="C177" s="6"/>
      <c r="D177" s="6"/>
      <c r="E177" s="3"/>
      <c r="F177" s="23"/>
      <c r="G177" s="3"/>
      <c r="H177" s="3"/>
      <c r="M177" s="11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7"/>
      <c r="AE177" s="7"/>
      <c r="AF177" s="7"/>
      <c r="AG177" s="7"/>
      <c r="AH177" s="3"/>
      <c r="AI177" s="3"/>
      <c r="AJ177" s="3"/>
      <c r="AK177" s="3"/>
      <c r="AL177" s="7"/>
      <c r="AM177" s="22"/>
      <c r="AN177" s="22"/>
      <c r="AO177" s="22"/>
      <c r="AP177" s="3"/>
      <c r="AQ177" s="3"/>
      <c r="AR177" s="3"/>
      <c r="AS177" s="3"/>
      <c r="AT177" s="7"/>
      <c r="AU177" s="24"/>
      <c r="AV177" s="24"/>
      <c r="AW177" s="24"/>
      <c r="AX177" s="3"/>
      <c r="AY177" s="3"/>
      <c r="AZ177" s="3"/>
      <c r="BA177" s="3"/>
      <c r="BB177" s="3"/>
      <c r="BC177" s="24"/>
      <c r="BD177" s="24"/>
      <c r="BE177" s="24"/>
      <c r="BF177" s="3"/>
      <c r="BG177" s="3"/>
      <c r="BH177" s="3"/>
      <c r="BI177" s="3"/>
      <c r="BJ177" s="3"/>
      <c r="BK177" s="3"/>
      <c r="BR177" s="3"/>
    </row>
    <row r="178" spans="2:70" customFormat="1" x14ac:dyDescent="0.3">
      <c r="B178" s="6"/>
      <c r="C178" s="6"/>
      <c r="D178" s="6"/>
      <c r="E178" s="3"/>
      <c r="F178" s="23"/>
      <c r="G178" s="3"/>
      <c r="H178" s="3"/>
      <c r="M178" s="11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7"/>
      <c r="AE178" s="7"/>
      <c r="AF178" s="7"/>
      <c r="AG178" s="7"/>
      <c r="AH178" s="3"/>
      <c r="AI178" s="3"/>
      <c r="AJ178" s="3"/>
      <c r="AK178" s="3"/>
      <c r="AL178" s="7"/>
      <c r="AM178" s="22"/>
      <c r="AN178" s="22"/>
      <c r="AO178" s="22"/>
      <c r="AP178" s="3"/>
      <c r="AQ178" s="3"/>
      <c r="AR178" s="3"/>
      <c r="AS178" s="3"/>
      <c r="AT178" s="7"/>
      <c r="AU178" s="24"/>
      <c r="AV178" s="24"/>
      <c r="AW178" s="24"/>
      <c r="AX178" s="3"/>
      <c r="AY178" s="3"/>
      <c r="AZ178" s="3"/>
      <c r="BA178" s="3"/>
      <c r="BB178" s="3"/>
      <c r="BC178" s="24"/>
      <c r="BD178" s="24"/>
      <c r="BE178" s="24"/>
      <c r="BF178" s="3"/>
      <c r="BG178" s="3"/>
      <c r="BH178" s="3"/>
      <c r="BI178" s="3"/>
      <c r="BJ178" s="3"/>
      <c r="BK178" s="3"/>
      <c r="BR178" s="3"/>
    </row>
    <row r="179" spans="2:70" customFormat="1" x14ac:dyDescent="0.3">
      <c r="B179" s="6"/>
      <c r="C179" s="6"/>
      <c r="D179" s="6"/>
      <c r="E179" s="3"/>
      <c r="F179" s="23"/>
      <c r="G179" s="3"/>
      <c r="H179" s="3"/>
      <c r="M179" s="11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7"/>
      <c r="AE179" s="7"/>
      <c r="AF179" s="7"/>
      <c r="AG179" s="7"/>
      <c r="AH179" s="3"/>
      <c r="AI179" s="3"/>
      <c r="AJ179" s="3"/>
      <c r="AK179" s="3"/>
      <c r="AL179" s="7"/>
      <c r="AM179" s="22"/>
      <c r="AN179" s="22"/>
      <c r="AO179" s="22"/>
      <c r="AP179" s="3"/>
      <c r="AQ179" s="3"/>
      <c r="AR179" s="3"/>
      <c r="AS179" s="3"/>
      <c r="AT179" s="7"/>
      <c r="AU179" s="24"/>
      <c r="AV179" s="24"/>
      <c r="AW179" s="24"/>
      <c r="AX179" s="3"/>
      <c r="AY179" s="3"/>
      <c r="AZ179" s="3"/>
      <c r="BA179" s="3"/>
      <c r="BB179" s="3"/>
      <c r="BC179" s="24"/>
      <c r="BD179" s="24"/>
      <c r="BE179" s="24"/>
      <c r="BF179" s="3"/>
      <c r="BG179" s="3"/>
      <c r="BH179" s="3"/>
      <c r="BI179" s="3"/>
      <c r="BJ179" s="3"/>
      <c r="BK179" s="3"/>
      <c r="BR179" s="3"/>
    </row>
    <row r="180" spans="2:70" customFormat="1" x14ac:dyDescent="0.3">
      <c r="B180" s="6"/>
      <c r="C180" s="6"/>
      <c r="D180" s="6"/>
      <c r="E180" s="3"/>
      <c r="F180" s="23"/>
      <c r="G180" s="3"/>
      <c r="H180" s="3"/>
      <c r="M180" s="11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7"/>
      <c r="AE180" s="7"/>
      <c r="AF180" s="7"/>
      <c r="AG180" s="7"/>
      <c r="AH180" s="3"/>
      <c r="AI180" s="3"/>
      <c r="AJ180" s="3"/>
      <c r="AK180" s="3"/>
      <c r="AL180" s="7"/>
      <c r="AM180" s="22"/>
      <c r="AN180" s="22"/>
      <c r="AO180" s="22"/>
      <c r="AP180" s="3"/>
      <c r="AQ180" s="3"/>
      <c r="AR180" s="3"/>
      <c r="AS180" s="3"/>
      <c r="AT180" s="7"/>
      <c r="AU180" s="24"/>
      <c r="AV180" s="24"/>
      <c r="AW180" s="24"/>
      <c r="AX180" s="3"/>
      <c r="AY180" s="3"/>
      <c r="AZ180" s="3"/>
      <c r="BA180" s="3"/>
      <c r="BB180" s="3"/>
      <c r="BC180" s="24"/>
      <c r="BD180" s="24"/>
      <c r="BE180" s="24"/>
      <c r="BF180" s="3"/>
      <c r="BG180" s="3"/>
      <c r="BH180" s="3"/>
      <c r="BI180" s="3"/>
      <c r="BJ180" s="3"/>
      <c r="BK180" s="3"/>
      <c r="BR180" s="3"/>
    </row>
    <row r="181" spans="2:70" customFormat="1" x14ac:dyDescent="0.3">
      <c r="B181" s="6"/>
      <c r="C181" s="6"/>
      <c r="D181" s="6"/>
      <c r="E181" s="3"/>
      <c r="F181" s="23"/>
      <c r="G181" s="3"/>
      <c r="H181" s="3"/>
      <c r="M181" s="11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7"/>
      <c r="AE181" s="7"/>
      <c r="AF181" s="7"/>
      <c r="AG181" s="7"/>
      <c r="AH181" s="3"/>
      <c r="AI181" s="3"/>
      <c r="AJ181" s="3"/>
      <c r="AK181" s="3"/>
      <c r="AL181" s="7"/>
      <c r="AM181" s="22"/>
      <c r="AN181" s="22"/>
      <c r="AO181" s="22"/>
      <c r="AP181" s="3"/>
      <c r="AQ181" s="3"/>
      <c r="AR181" s="3"/>
      <c r="AS181" s="3"/>
      <c r="AT181" s="7"/>
      <c r="AU181" s="24"/>
      <c r="AV181" s="24"/>
      <c r="AW181" s="24"/>
      <c r="AX181" s="3"/>
      <c r="AY181" s="3"/>
      <c r="AZ181" s="3"/>
      <c r="BA181" s="3"/>
      <c r="BB181" s="3"/>
      <c r="BC181" s="24"/>
      <c r="BD181" s="24"/>
      <c r="BE181" s="24"/>
      <c r="BF181" s="3"/>
      <c r="BG181" s="3"/>
      <c r="BH181" s="3"/>
      <c r="BI181" s="3"/>
      <c r="BJ181" s="3"/>
      <c r="BK181" s="3"/>
      <c r="BR181" s="3"/>
    </row>
    <row r="182" spans="2:70" customFormat="1" x14ac:dyDescent="0.3">
      <c r="B182" s="6"/>
      <c r="C182" s="6"/>
      <c r="D182" s="6"/>
      <c r="E182" s="3"/>
      <c r="F182" s="23"/>
      <c r="G182" s="3"/>
      <c r="H182" s="3"/>
      <c r="M182" s="11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7"/>
      <c r="AE182" s="7"/>
      <c r="AF182" s="7"/>
      <c r="AG182" s="7"/>
      <c r="AH182" s="3"/>
      <c r="AI182" s="3"/>
      <c r="AJ182" s="3"/>
      <c r="AK182" s="3"/>
      <c r="AL182" s="7"/>
      <c r="AM182" s="22"/>
      <c r="AN182" s="22"/>
      <c r="AO182" s="22"/>
      <c r="AP182" s="3"/>
      <c r="AQ182" s="3"/>
      <c r="AR182" s="3"/>
      <c r="AS182" s="3"/>
      <c r="AT182" s="7"/>
      <c r="AU182" s="24"/>
      <c r="AV182" s="24"/>
      <c r="AW182" s="24"/>
      <c r="AX182" s="3"/>
      <c r="AY182" s="3"/>
      <c r="AZ182" s="3"/>
      <c r="BA182" s="3"/>
      <c r="BB182" s="3"/>
      <c r="BC182" s="24"/>
      <c r="BD182" s="24"/>
      <c r="BE182" s="24"/>
      <c r="BF182" s="3"/>
      <c r="BG182" s="3"/>
      <c r="BH182" s="3"/>
      <c r="BI182" s="3"/>
      <c r="BJ182" s="3"/>
      <c r="BK182" s="3"/>
      <c r="BR182" s="3"/>
    </row>
    <row r="183" spans="2:70" customFormat="1" x14ac:dyDescent="0.3">
      <c r="B183" s="6"/>
      <c r="C183" s="6"/>
      <c r="D183" s="6"/>
      <c r="E183" s="3"/>
      <c r="F183" s="23"/>
      <c r="G183" s="3"/>
      <c r="H183" s="3"/>
      <c r="M183" s="11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7"/>
      <c r="AE183" s="7"/>
      <c r="AF183" s="7"/>
      <c r="AG183" s="7"/>
      <c r="AH183" s="3"/>
      <c r="AI183" s="3"/>
      <c r="AJ183" s="3"/>
      <c r="AK183" s="3"/>
      <c r="AL183" s="7"/>
      <c r="AM183" s="22"/>
      <c r="AN183" s="22"/>
      <c r="AO183" s="22"/>
      <c r="AP183" s="3"/>
      <c r="AQ183" s="3"/>
      <c r="AR183" s="3"/>
      <c r="AS183" s="3"/>
      <c r="AT183" s="7"/>
      <c r="AU183" s="24"/>
      <c r="AV183" s="24"/>
      <c r="AW183" s="24"/>
      <c r="AX183" s="3"/>
      <c r="AY183" s="3"/>
      <c r="AZ183" s="3"/>
      <c r="BA183" s="3"/>
      <c r="BB183" s="3"/>
      <c r="BC183" s="24"/>
      <c r="BD183" s="24"/>
      <c r="BE183" s="24"/>
      <c r="BF183" s="3"/>
      <c r="BG183" s="3"/>
      <c r="BH183" s="3"/>
      <c r="BI183" s="3"/>
      <c r="BJ183" s="3"/>
      <c r="BK183" s="3"/>
      <c r="BR183" s="3"/>
    </row>
    <row r="184" spans="2:70" customFormat="1" x14ac:dyDescent="0.3">
      <c r="B184" s="6"/>
      <c r="C184" s="6"/>
      <c r="D184" s="6"/>
      <c r="E184" s="3"/>
      <c r="F184" s="23"/>
      <c r="G184" s="3"/>
      <c r="H184" s="3"/>
      <c r="M184" s="11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7"/>
      <c r="AE184" s="7"/>
      <c r="AF184" s="7"/>
      <c r="AG184" s="7"/>
      <c r="AH184" s="3"/>
      <c r="AI184" s="3"/>
      <c r="AJ184" s="3"/>
      <c r="AK184" s="3"/>
      <c r="AL184" s="7"/>
      <c r="AM184" s="22"/>
      <c r="AN184" s="22"/>
      <c r="AO184" s="22"/>
      <c r="AP184" s="3"/>
      <c r="AQ184" s="3"/>
      <c r="AR184" s="3"/>
      <c r="AS184" s="3"/>
      <c r="AT184" s="7"/>
      <c r="AU184" s="24"/>
      <c r="AV184" s="24"/>
      <c r="AW184" s="24"/>
      <c r="AX184" s="3"/>
      <c r="AY184" s="3"/>
      <c r="AZ184" s="3"/>
      <c r="BA184" s="3"/>
      <c r="BB184" s="3"/>
      <c r="BC184" s="24"/>
      <c r="BD184" s="24"/>
      <c r="BE184" s="24"/>
      <c r="BF184" s="3"/>
      <c r="BG184" s="3"/>
      <c r="BH184" s="3"/>
      <c r="BI184" s="3"/>
      <c r="BJ184" s="3"/>
      <c r="BK184" s="3"/>
      <c r="BR184" s="3"/>
    </row>
    <row r="185" spans="2:70" customFormat="1" x14ac:dyDescent="0.3">
      <c r="B185" s="6"/>
      <c r="C185" s="6"/>
      <c r="D185" s="6"/>
      <c r="E185" s="3"/>
      <c r="F185" s="23"/>
      <c r="G185" s="3"/>
      <c r="H185" s="3"/>
      <c r="M185" s="11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7"/>
      <c r="AE185" s="7"/>
      <c r="AF185" s="7"/>
      <c r="AG185" s="7"/>
      <c r="AH185" s="3"/>
      <c r="AI185" s="3"/>
      <c r="AJ185" s="3"/>
      <c r="AK185" s="3"/>
      <c r="AL185" s="7"/>
      <c r="AM185" s="22"/>
      <c r="AN185" s="22"/>
      <c r="AO185" s="22"/>
      <c r="AP185" s="3"/>
      <c r="AQ185" s="3"/>
      <c r="AR185" s="3"/>
      <c r="AS185" s="3"/>
      <c r="AT185" s="7"/>
      <c r="AU185" s="24"/>
      <c r="AV185" s="24"/>
      <c r="AW185" s="24"/>
      <c r="AX185" s="3"/>
      <c r="AY185" s="3"/>
      <c r="AZ185" s="3"/>
      <c r="BA185" s="3"/>
      <c r="BB185" s="3"/>
      <c r="BC185" s="24"/>
      <c r="BD185" s="24"/>
      <c r="BE185" s="24"/>
      <c r="BF185" s="3"/>
      <c r="BG185" s="3"/>
      <c r="BH185" s="3"/>
      <c r="BI185" s="3"/>
      <c r="BJ185" s="3"/>
      <c r="BK185" s="3"/>
      <c r="BR185" s="3"/>
    </row>
    <row r="186" spans="2:70" customFormat="1" x14ac:dyDescent="0.3">
      <c r="B186" s="6"/>
      <c r="C186" s="6"/>
      <c r="D186" s="6"/>
      <c r="E186" s="3"/>
      <c r="F186" s="23"/>
      <c r="G186" s="3"/>
      <c r="H186" s="3"/>
      <c r="M186" s="11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7"/>
      <c r="AE186" s="7"/>
      <c r="AF186" s="7"/>
      <c r="AG186" s="7"/>
      <c r="AH186" s="3"/>
      <c r="AI186" s="3"/>
      <c r="AJ186" s="3"/>
      <c r="AK186" s="3"/>
      <c r="AL186" s="7"/>
      <c r="AM186" s="22"/>
      <c r="AN186" s="22"/>
      <c r="AO186" s="22"/>
      <c r="AP186" s="3"/>
      <c r="AQ186" s="3"/>
      <c r="AR186" s="3"/>
      <c r="AS186" s="3"/>
      <c r="AT186" s="7"/>
      <c r="AU186" s="24"/>
      <c r="AV186" s="24"/>
      <c r="AW186" s="24"/>
      <c r="AX186" s="3"/>
      <c r="AY186" s="3"/>
      <c r="AZ186" s="3"/>
      <c r="BA186" s="3"/>
      <c r="BB186" s="3"/>
      <c r="BC186" s="24"/>
      <c r="BD186" s="24"/>
      <c r="BE186" s="24"/>
      <c r="BF186" s="3"/>
      <c r="BG186" s="3"/>
      <c r="BH186" s="3"/>
      <c r="BI186" s="3"/>
      <c r="BJ186" s="3"/>
      <c r="BK186" s="3"/>
      <c r="BR186" s="3"/>
    </row>
    <row r="187" spans="2:70" customFormat="1" x14ac:dyDescent="0.3">
      <c r="B187" s="6"/>
      <c r="C187" s="6"/>
      <c r="D187" s="6"/>
      <c r="E187" s="3"/>
      <c r="F187" s="23"/>
      <c r="G187" s="3"/>
      <c r="H187" s="3"/>
      <c r="M187" s="11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7"/>
      <c r="AE187" s="7"/>
      <c r="AF187" s="7"/>
      <c r="AG187" s="7"/>
      <c r="AH187" s="3"/>
      <c r="AI187" s="3"/>
      <c r="AJ187" s="3"/>
      <c r="AK187" s="3"/>
      <c r="AL187" s="7"/>
      <c r="AM187" s="22"/>
      <c r="AN187" s="22"/>
      <c r="AO187" s="22"/>
      <c r="AP187" s="3"/>
      <c r="AQ187" s="3"/>
      <c r="AR187" s="3"/>
      <c r="AS187" s="3"/>
      <c r="AT187" s="7"/>
      <c r="AU187" s="24"/>
      <c r="AV187" s="24"/>
      <c r="AW187" s="24"/>
      <c r="AX187" s="3"/>
      <c r="AY187" s="3"/>
      <c r="AZ187" s="3"/>
      <c r="BA187" s="3"/>
      <c r="BB187" s="3"/>
      <c r="BC187" s="24"/>
      <c r="BD187" s="24"/>
      <c r="BE187" s="24"/>
      <c r="BF187" s="3"/>
      <c r="BG187" s="3"/>
      <c r="BH187" s="3"/>
      <c r="BI187" s="3"/>
      <c r="BJ187" s="3"/>
      <c r="BK187" s="3"/>
      <c r="BR187" s="3"/>
    </row>
    <row r="188" spans="2:70" customFormat="1" x14ac:dyDescent="0.3">
      <c r="B188" s="6"/>
      <c r="C188" s="6"/>
      <c r="D188" s="6"/>
      <c r="E188" s="3"/>
      <c r="F188" s="23"/>
      <c r="G188" s="3"/>
      <c r="H188" s="3"/>
      <c r="M188" s="11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7"/>
      <c r="AE188" s="7"/>
      <c r="AF188" s="7"/>
      <c r="AG188" s="7"/>
      <c r="AH188" s="3"/>
      <c r="AI188" s="3"/>
      <c r="AJ188" s="3"/>
      <c r="AK188" s="3"/>
      <c r="AL188" s="7"/>
      <c r="AM188" s="22"/>
      <c r="AN188" s="22"/>
      <c r="AO188" s="22"/>
      <c r="AP188" s="3"/>
      <c r="AQ188" s="3"/>
      <c r="AR188" s="3"/>
      <c r="AS188" s="3"/>
      <c r="AT188" s="7"/>
      <c r="AU188" s="24"/>
      <c r="AV188" s="24"/>
      <c r="AW188" s="24"/>
      <c r="AX188" s="3"/>
      <c r="AY188" s="3"/>
      <c r="AZ188" s="3"/>
      <c r="BA188" s="3"/>
      <c r="BB188" s="3"/>
      <c r="BC188" s="24"/>
      <c r="BD188" s="24"/>
      <c r="BE188" s="24"/>
      <c r="BF188" s="3"/>
      <c r="BG188" s="3"/>
      <c r="BH188" s="3"/>
      <c r="BI188" s="3"/>
      <c r="BJ188" s="3"/>
      <c r="BK188" s="3"/>
      <c r="BR188" s="3"/>
    </row>
    <row r="189" spans="2:70" customFormat="1" x14ac:dyDescent="0.3">
      <c r="B189" s="6"/>
      <c r="C189" s="6"/>
      <c r="D189" s="6"/>
      <c r="E189" s="3"/>
      <c r="F189" s="23"/>
      <c r="G189" s="3"/>
      <c r="H189" s="3"/>
      <c r="M189" s="11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7"/>
      <c r="AE189" s="7"/>
      <c r="AF189" s="7"/>
      <c r="AG189" s="7"/>
      <c r="AH189" s="3"/>
      <c r="AI189" s="3"/>
      <c r="AJ189" s="3"/>
      <c r="AK189" s="3"/>
      <c r="AL189" s="7"/>
      <c r="AM189" s="22"/>
      <c r="AN189" s="22"/>
      <c r="AO189" s="22"/>
      <c r="AP189" s="3"/>
      <c r="AQ189" s="3"/>
      <c r="AR189" s="3"/>
      <c r="AS189" s="3"/>
      <c r="AT189" s="7"/>
      <c r="AU189" s="24"/>
      <c r="AV189" s="24"/>
      <c r="AW189" s="24"/>
      <c r="AX189" s="3"/>
      <c r="AY189" s="3"/>
      <c r="AZ189" s="3"/>
      <c r="BA189" s="3"/>
      <c r="BB189" s="3"/>
      <c r="BC189" s="24"/>
      <c r="BD189" s="24"/>
      <c r="BE189" s="24"/>
      <c r="BF189" s="3"/>
      <c r="BG189" s="3"/>
      <c r="BH189" s="3"/>
      <c r="BI189" s="3"/>
      <c r="BJ189" s="3"/>
      <c r="BK189" s="3"/>
      <c r="BR189" s="3"/>
    </row>
    <row r="190" spans="2:70" customFormat="1" x14ac:dyDescent="0.3">
      <c r="B190" s="6"/>
      <c r="C190" s="6"/>
      <c r="D190" s="6"/>
      <c r="E190" s="3"/>
      <c r="F190" s="23"/>
      <c r="G190" s="3"/>
      <c r="H190" s="3"/>
      <c r="M190" s="11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7"/>
      <c r="AE190" s="7"/>
      <c r="AF190" s="7"/>
      <c r="AG190" s="7"/>
      <c r="AH190" s="3"/>
      <c r="AI190" s="3"/>
      <c r="AJ190" s="3"/>
      <c r="AK190" s="3"/>
      <c r="AL190" s="7"/>
      <c r="AM190" s="22"/>
      <c r="AN190" s="22"/>
      <c r="AO190" s="22"/>
      <c r="AP190" s="3"/>
      <c r="AQ190" s="3"/>
      <c r="AR190" s="3"/>
      <c r="AS190" s="3"/>
      <c r="AT190" s="7"/>
      <c r="AU190" s="24"/>
      <c r="AV190" s="24"/>
      <c r="AW190" s="24"/>
      <c r="AX190" s="3"/>
      <c r="AY190" s="3"/>
      <c r="AZ190" s="3"/>
      <c r="BA190" s="3"/>
      <c r="BB190" s="3"/>
      <c r="BC190" s="24"/>
      <c r="BD190" s="24"/>
      <c r="BE190" s="24"/>
      <c r="BF190" s="3"/>
      <c r="BG190" s="3"/>
      <c r="BH190" s="3"/>
      <c r="BI190" s="3"/>
      <c r="BJ190" s="3"/>
      <c r="BK190" s="3"/>
      <c r="BR190" s="3"/>
    </row>
    <row r="191" spans="2:70" customFormat="1" x14ac:dyDescent="0.3">
      <c r="B191" s="6"/>
      <c r="C191" s="6"/>
      <c r="D191" s="6"/>
      <c r="E191" s="3"/>
      <c r="F191" s="23"/>
      <c r="G191" s="3"/>
      <c r="H191" s="3"/>
      <c r="M191" s="11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7"/>
      <c r="AE191" s="7"/>
      <c r="AF191" s="7"/>
      <c r="AG191" s="7"/>
      <c r="AH191" s="3"/>
      <c r="AI191" s="3"/>
      <c r="AJ191" s="3"/>
      <c r="AK191" s="3"/>
      <c r="AL191" s="7"/>
      <c r="AM191" s="22"/>
      <c r="AN191" s="22"/>
      <c r="AO191" s="22"/>
      <c r="AP191" s="3"/>
      <c r="AQ191" s="3"/>
      <c r="AR191" s="3"/>
      <c r="AS191" s="3"/>
      <c r="AT191" s="7"/>
      <c r="AU191" s="24"/>
      <c r="AV191" s="24"/>
      <c r="AW191" s="24"/>
      <c r="AX191" s="3"/>
      <c r="AY191" s="3"/>
      <c r="AZ191" s="3"/>
      <c r="BA191" s="3"/>
      <c r="BB191" s="3"/>
      <c r="BC191" s="24"/>
      <c r="BD191" s="24"/>
      <c r="BE191" s="24"/>
      <c r="BF191" s="3"/>
      <c r="BG191" s="3"/>
      <c r="BH191" s="3"/>
      <c r="BI191" s="3"/>
      <c r="BJ191" s="3"/>
      <c r="BK191" s="3"/>
      <c r="BR191" s="3"/>
    </row>
    <row r="192" spans="2:70" customFormat="1" x14ac:dyDescent="0.3">
      <c r="B192" s="6"/>
      <c r="C192" s="6"/>
      <c r="D192" s="6"/>
      <c r="E192" s="3"/>
      <c r="F192" s="23"/>
      <c r="G192" s="3"/>
      <c r="H192" s="3"/>
      <c r="M192" s="11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7"/>
      <c r="AE192" s="7"/>
      <c r="AF192" s="7"/>
      <c r="AG192" s="7"/>
      <c r="AH192" s="3"/>
      <c r="AI192" s="3"/>
      <c r="AJ192" s="3"/>
      <c r="AK192" s="3"/>
      <c r="AL192" s="7"/>
      <c r="AM192" s="22"/>
      <c r="AN192" s="22"/>
      <c r="AO192" s="22"/>
      <c r="AP192" s="3"/>
      <c r="AQ192" s="3"/>
      <c r="AR192" s="3"/>
      <c r="AS192" s="3"/>
      <c r="AT192" s="7"/>
      <c r="AU192" s="24"/>
      <c r="AV192" s="24"/>
      <c r="AW192" s="24"/>
      <c r="AX192" s="3"/>
      <c r="AY192" s="3"/>
      <c r="AZ192" s="3"/>
      <c r="BA192" s="3"/>
      <c r="BB192" s="3"/>
      <c r="BC192" s="24"/>
      <c r="BD192" s="24"/>
      <c r="BE192" s="24"/>
      <c r="BF192" s="3"/>
      <c r="BG192" s="3"/>
      <c r="BH192" s="3"/>
      <c r="BI192" s="3"/>
      <c r="BJ192" s="3"/>
      <c r="BK192" s="3"/>
      <c r="BR192" s="3"/>
    </row>
    <row r="193" spans="2:70" customFormat="1" x14ac:dyDescent="0.3">
      <c r="B193" s="6"/>
      <c r="C193" s="6"/>
      <c r="D193" s="6"/>
      <c r="E193" s="3"/>
      <c r="F193" s="23"/>
      <c r="G193" s="3"/>
      <c r="H193" s="3"/>
      <c r="M193" s="11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7"/>
      <c r="AE193" s="7"/>
      <c r="AF193" s="7"/>
      <c r="AG193" s="7"/>
      <c r="AH193" s="3"/>
      <c r="AI193" s="3"/>
      <c r="AJ193" s="3"/>
      <c r="AK193" s="3"/>
      <c r="AL193" s="7"/>
      <c r="AM193" s="22"/>
      <c r="AN193" s="22"/>
      <c r="AO193" s="22"/>
      <c r="AP193" s="3"/>
      <c r="AQ193" s="3"/>
      <c r="AR193" s="3"/>
      <c r="AS193" s="3"/>
      <c r="AT193" s="7"/>
      <c r="AU193" s="24"/>
      <c r="AV193" s="24"/>
      <c r="AW193" s="24"/>
      <c r="AX193" s="3"/>
      <c r="AY193" s="3"/>
      <c r="AZ193" s="3"/>
      <c r="BA193" s="3"/>
      <c r="BB193" s="3"/>
      <c r="BC193" s="24"/>
      <c r="BD193" s="24"/>
      <c r="BE193" s="24"/>
      <c r="BF193" s="3"/>
      <c r="BG193" s="3"/>
      <c r="BH193" s="3"/>
      <c r="BI193" s="3"/>
      <c r="BJ193" s="3"/>
      <c r="BK193" s="3"/>
      <c r="BR193" s="3"/>
    </row>
    <row r="194" spans="2:70" customFormat="1" x14ac:dyDescent="0.3">
      <c r="B194" s="6"/>
      <c r="C194" s="6"/>
      <c r="D194" s="6"/>
      <c r="E194" s="3"/>
      <c r="F194" s="23"/>
      <c r="G194" s="3"/>
      <c r="H194" s="3"/>
      <c r="M194" s="11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7"/>
      <c r="AE194" s="7"/>
      <c r="AF194" s="7"/>
      <c r="AG194" s="7"/>
      <c r="AH194" s="3"/>
      <c r="AI194" s="3"/>
      <c r="AJ194" s="3"/>
      <c r="AK194" s="3"/>
      <c r="AL194" s="7"/>
      <c r="AM194" s="22"/>
      <c r="AN194" s="22"/>
      <c r="AO194" s="22"/>
      <c r="AP194" s="3"/>
      <c r="AQ194" s="3"/>
      <c r="AR194" s="3"/>
      <c r="AS194" s="3"/>
      <c r="AT194" s="7"/>
      <c r="AU194" s="24"/>
      <c r="AV194" s="24"/>
      <c r="AW194" s="24"/>
      <c r="AX194" s="3"/>
      <c r="AY194" s="3"/>
      <c r="AZ194" s="3"/>
      <c r="BA194" s="3"/>
      <c r="BB194" s="3"/>
      <c r="BC194" s="24"/>
      <c r="BD194" s="24"/>
      <c r="BE194" s="24"/>
      <c r="BF194" s="3"/>
      <c r="BG194" s="3"/>
      <c r="BH194" s="3"/>
      <c r="BI194" s="3"/>
      <c r="BJ194" s="3"/>
      <c r="BK194" s="3"/>
      <c r="BR194" s="3"/>
    </row>
    <row r="195" spans="2:70" customFormat="1" x14ac:dyDescent="0.3">
      <c r="B195" s="6"/>
      <c r="C195" s="6"/>
      <c r="D195" s="6"/>
      <c r="E195" s="3"/>
      <c r="F195" s="23"/>
      <c r="G195" s="3"/>
      <c r="H195" s="3"/>
      <c r="M195" s="11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7"/>
      <c r="AE195" s="7"/>
      <c r="AF195" s="7"/>
      <c r="AG195" s="7"/>
      <c r="AH195" s="3"/>
      <c r="AI195" s="3"/>
      <c r="AJ195" s="3"/>
      <c r="AK195" s="3"/>
      <c r="AL195" s="7"/>
      <c r="AM195" s="22"/>
      <c r="AN195" s="22"/>
      <c r="AO195" s="22"/>
      <c r="AP195" s="3"/>
      <c r="AQ195" s="3"/>
      <c r="AR195" s="3"/>
      <c r="AS195" s="3"/>
      <c r="AT195" s="7"/>
      <c r="AU195" s="24"/>
      <c r="AV195" s="24"/>
      <c r="AW195" s="24"/>
      <c r="AX195" s="3"/>
      <c r="AY195" s="3"/>
      <c r="AZ195" s="3"/>
      <c r="BA195" s="3"/>
      <c r="BB195" s="3"/>
      <c r="BC195" s="24"/>
      <c r="BD195" s="24"/>
      <c r="BE195" s="24"/>
      <c r="BF195" s="3"/>
      <c r="BG195" s="3"/>
      <c r="BH195" s="3"/>
      <c r="BI195" s="3"/>
      <c r="BJ195" s="3"/>
      <c r="BK195" s="3"/>
      <c r="BR195" s="3"/>
    </row>
    <row r="196" spans="2:70" customFormat="1" x14ac:dyDescent="0.3">
      <c r="B196" s="6"/>
      <c r="C196" s="6"/>
      <c r="D196" s="6"/>
      <c r="E196" s="3"/>
      <c r="F196" s="23"/>
      <c r="G196" s="3"/>
      <c r="H196" s="3"/>
      <c r="M196" s="11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7"/>
      <c r="AE196" s="7"/>
      <c r="AF196" s="7"/>
      <c r="AG196" s="7"/>
      <c r="AH196" s="3"/>
      <c r="AI196" s="3"/>
      <c r="AJ196" s="3"/>
      <c r="AK196" s="3"/>
      <c r="AL196" s="7"/>
      <c r="AM196" s="22"/>
      <c r="AN196" s="22"/>
      <c r="AO196" s="22"/>
      <c r="AP196" s="3"/>
      <c r="AQ196" s="3"/>
      <c r="AR196" s="3"/>
      <c r="AS196" s="3"/>
      <c r="AT196" s="7"/>
      <c r="AU196" s="24"/>
      <c r="AV196" s="24"/>
      <c r="AW196" s="24"/>
      <c r="AX196" s="3"/>
      <c r="AY196" s="3"/>
      <c r="AZ196" s="3"/>
      <c r="BA196" s="3"/>
      <c r="BB196" s="3"/>
      <c r="BC196" s="24"/>
      <c r="BD196" s="24"/>
      <c r="BE196" s="24"/>
      <c r="BF196" s="3"/>
      <c r="BG196" s="3"/>
      <c r="BH196" s="3"/>
      <c r="BI196" s="3"/>
      <c r="BJ196" s="3"/>
      <c r="BK196" s="3"/>
      <c r="BR196" s="3"/>
    </row>
    <row r="197" spans="2:70" customFormat="1" x14ac:dyDescent="0.3">
      <c r="B197" s="6"/>
      <c r="C197" s="6"/>
      <c r="D197" s="6"/>
      <c r="E197" s="3"/>
      <c r="F197" s="23"/>
      <c r="G197" s="3"/>
      <c r="H197" s="3"/>
      <c r="M197" s="11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7"/>
      <c r="AE197" s="7"/>
      <c r="AF197" s="7"/>
      <c r="AG197" s="7"/>
      <c r="AH197" s="3"/>
      <c r="AI197" s="3"/>
      <c r="AJ197" s="3"/>
      <c r="AK197" s="3"/>
      <c r="AL197" s="7"/>
      <c r="AM197" s="22"/>
      <c r="AN197" s="22"/>
      <c r="AO197" s="22"/>
      <c r="AP197" s="3"/>
      <c r="AQ197" s="3"/>
      <c r="AR197" s="3"/>
      <c r="AS197" s="3"/>
      <c r="AT197" s="7"/>
      <c r="AU197" s="24"/>
      <c r="AV197" s="24"/>
      <c r="AW197" s="24"/>
      <c r="AX197" s="3"/>
      <c r="AY197" s="3"/>
      <c r="AZ197" s="3"/>
      <c r="BA197" s="3"/>
      <c r="BB197" s="3"/>
      <c r="BC197" s="24"/>
      <c r="BD197" s="24"/>
      <c r="BE197" s="24"/>
      <c r="BF197" s="3"/>
      <c r="BG197" s="3"/>
      <c r="BH197" s="3"/>
      <c r="BI197" s="3"/>
      <c r="BJ197" s="3"/>
      <c r="BK197" s="3"/>
      <c r="BR197" s="3"/>
    </row>
    <row r="198" spans="2:70" customFormat="1" x14ac:dyDescent="0.3">
      <c r="B198" s="6"/>
      <c r="C198" s="6"/>
      <c r="D198" s="6"/>
      <c r="E198" s="3"/>
      <c r="F198" s="23"/>
      <c r="G198" s="3"/>
      <c r="H198" s="3"/>
      <c r="M198" s="11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7"/>
      <c r="AE198" s="7"/>
      <c r="AF198" s="7"/>
      <c r="AG198" s="7"/>
      <c r="AH198" s="3"/>
      <c r="AI198" s="3"/>
      <c r="AJ198" s="3"/>
      <c r="AK198" s="3"/>
      <c r="AL198" s="7"/>
      <c r="AM198" s="22"/>
      <c r="AN198" s="22"/>
      <c r="AO198" s="22"/>
      <c r="AP198" s="3"/>
      <c r="AQ198" s="3"/>
      <c r="AR198" s="3"/>
      <c r="AS198" s="3"/>
      <c r="AT198" s="7"/>
      <c r="AU198" s="24"/>
      <c r="AV198" s="24"/>
      <c r="AW198" s="24"/>
      <c r="AX198" s="3"/>
      <c r="AY198" s="3"/>
      <c r="AZ198" s="3"/>
      <c r="BA198" s="3"/>
      <c r="BB198" s="3"/>
      <c r="BC198" s="24"/>
      <c r="BD198" s="24"/>
      <c r="BE198" s="24"/>
      <c r="BF198" s="3"/>
      <c r="BG198" s="3"/>
      <c r="BH198" s="3"/>
      <c r="BI198" s="3"/>
      <c r="BJ198" s="3"/>
      <c r="BK198" s="3"/>
      <c r="BR198" s="3"/>
    </row>
    <row r="199" spans="2:70" customFormat="1" x14ac:dyDescent="0.3">
      <c r="B199" s="6"/>
      <c r="C199" s="6"/>
      <c r="D199" s="6"/>
      <c r="E199" s="3"/>
      <c r="F199" s="23"/>
      <c r="G199" s="3"/>
      <c r="H199" s="3"/>
      <c r="M199" s="11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7"/>
      <c r="AE199" s="7"/>
      <c r="AF199" s="7"/>
      <c r="AG199" s="7"/>
      <c r="AH199" s="3"/>
      <c r="AI199" s="3"/>
      <c r="AJ199" s="3"/>
      <c r="AK199" s="3"/>
      <c r="AL199" s="7"/>
      <c r="AM199" s="22"/>
      <c r="AN199" s="22"/>
      <c r="AO199" s="22"/>
      <c r="AP199" s="3"/>
      <c r="AQ199" s="3"/>
      <c r="AR199" s="3"/>
      <c r="AS199" s="3"/>
      <c r="AT199" s="7"/>
      <c r="AU199" s="24"/>
      <c r="AV199" s="24"/>
      <c r="AW199" s="24"/>
      <c r="AX199" s="3"/>
      <c r="AY199" s="3"/>
      <c r="AZ199" s="3"/>
      <c r="BA199" s="3"/>
      <c r="BB199" s="3"/>
      <c r="BC199" s="24"/>
      <c r="BD199" s="24"/>
      <c r="BE199" s="24"/>
      <c r="BF199" s="3"/>
      <c r="BG199" s="3"/>
      <c r="BH199" s="3"/>
      <c r="BI199" s="3"/>
      <c r="BJ199" s="3"/>
      <c r="BK199" s="3"/>
      <c r="BR199" s="3"/>
    </row>
    <row r="200" spans="2:70" customFormat="1" x14ac:dyDescent="0.3">
      <c r="B200" s="6"/>
      <c r="C200" s="6"/>
      <c r="D200" s="6"/>
      <c r="E200" s="3"/>
      <c r="F200" s="23"/>
      <c r="G200" s="3"/>
      <c r="H200" s="3"/>
      <c r="M200" s="11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7"/>
      <c r="AE200" s="7"/>
      <c r="AF200" s="7"/>
      <c r="AG200" s="7"/>
      <c r="AH200" s="3"/>
      <c r="AI200" s="3"/>
      <c r="AJ200" s="3"/>
      <c r="AK200" s="3"/>
      <c r="AL200" s="7"/>
      <c r="AM200" s="22"/>
      <c r="AN200" s="22"/>
      <c r="AO200" s="22"/>
      <c r="AP200" s="3"/>
      <c r="AQ200" s="3"/>
      <c r="AR200" s="3"/>
      <c r="AS200" s="3"/>
      <c r="AT200" s="7"/>
      <c r="AU200" s="24"/>
      <c r="AV200" s="24"/>
      <c r="AW200" s="24"/>
      <c r="AX200" s="3"/>
      <c r="AY200" s="3"/>
      <c r="AZ200" s="3"/>
      <c r="BA200" s="3"/>
      <c r="BB200" s="3"/>
      <c r="BC200" s="24"/>
      <c r="BD200" s="24"/>
      <c r="BE200" s="24"/>
      <c r="BF200" s="3"/>
      <c r="BG200" s="3"/>
      <c r="BH200" s="3"/>
      <c r="BI200" s="3"/>
      <c r="BJ200" s="3"/>
      <c r="BK200" s="3"/>
      <c r="BR200" s="3"/>
    </row>
    <row r="201" spans="2:70" customFormat="1" x14ac:dyDescent="0.3">
      <c r="B201" s="6"/>
      <c r="C201" s="6"/>
      <c r="D201" s="6"/>
      <c r="E201" s="3"/>
      <c r="F201" s="23"/>
      <c r="G201" s="3"/>
      <c r="H201" s="3"/>
      <c r="M201" s="11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7"/>
      <c r="AE201" s="7"/>
      <c r="AF201" s="7"/>
      <c r="AG201" s="7"/>
      <c r="AH201" s="3"/>
      <c r="AI201" s="3"/>
      <c r="AJ201" s="3"/>
      <c r="AK201" s="3"/>
      <c r="AL201" s="7"/>
      <c r="AM201" s="22"/>
      <c r="AN201" s="22"/>
      <c r="AO201" s="22"/>
      <c r="AP201" s="3"/>
      <c r="AQ201" s="3"/>
      <c r="AR201" s="3"/>
      <c r="AS201" s="3"/>
      <c r="AT201" s="7"/>
      <c r="AU201" s="24"/>
      <c r="AV201" s="24"/>
      <c r="AW201" s="24"/>
      <c r="AX201" s="3"/>
      <c r="AY201" s="3"/>
      <c r="AZ201" s="3"/>
      <c r="BA201" s="3"/>
      <c r="BB201" s="3"/>
      <c r="BC201" s="24"/>
      <c r="BD201" s="24"/>
      <c r="BE201" s="24"/>
      <c r="BF201" s="3"/>
      <c r="BG201" s="3"/>
      <c r="BH201" s="3"/>
      <c r="BI201" s="3"/>
      <c r="BJ201" s="3"/>
      <c r="BK201" s="3"/>
      <c r="BR201" s="3"/>
    </row>
    <row r="202" spans="2:70" customFormat="1" x14ac:dyDescent="0.3">
      <c r="B202" s="6"/>
      <c r="C202" s="6"/>
      <c r="D202" s="6"/>
      <c r="E202" s="3"/>
      <c r="F202" s="23"/>
      <c r="G202" s="3"/>
      <c r="H202" s="3"/>
      <c r="M202" s="11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7"/>
      <c r="AE202" s="7"/>
      <c r="AF202" s="7"/>
      <c r="AG202" s="7"/>
      <c r="AH202" s="3"/>
      <c r="AI202" s="3"/>
      <c r="AJ202" s="3"/>
      <c r="AK202" s="3"/>
      <c r="AL202" s="7"/>
      <c r="AM202" s="22"/>
      <c r="AN202" s="22"/>
      <c r="AO202" s="22"/>
      <c r="AP202" s="3"/>
      <c r="AQ202" s="3"/>
      <c r="AR202" s="3"/>
      <c r="AS202" s="3"/>
      <c r="AT202" s="7"/>
      <c r="AU202" s="24"/>
      <c r="AV202" s="24"/>
      <c r="AW202" s="24"/>
      <c r="AX202" s="3"/>
      <c r="AY202" s="3"/>
      <c r="AZ202" s="3"/>
      <c r="BA202" s="3"/>
      <c r="BB202" s="3"/>
      <c r="BC202" s="24"/>
      <c r="BD202" s="24"/>
      <c r="BE202" s="24"/>
      <c r="BF202" s="3"/>
      <c r="BG202" s="3"/>
      <c r="BH202" s="3"/>
      <c r="BI202" s="3"/>
      <c r="BJ202" s="3"/>
      <c r="BK202" s="3"/>
      <c r="BR202" s="3"/>
    </row>
    <row r="203" spans="2:70" customFormat="1" x14ac:dyDescent="0.3">
      <c r="B203" s="6"/>
      <c r="C203" s="6"/>
      <c r="D203" s="6"/>
      <c r="E203" s="3"/>
      <c r="F203" s="23"/>
      <c r="G203" s="3"/>
      <c r="H203" s="3"/>
      <c r="M203" s="11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7"/>
      <c r="AE203" s="7"/>
      <c r="AF203" s="7"/>
      <c r="AG203" s="7"/>
      <c r="AH203" s="3"/>
      <c r="AI203" s="3"/>
      <c r="AJ203" s="3"/>
      <c r="AK203" s="3"/>
      <c r="AL203" s="7"/>
      <c r="AM203" s="22"/>
      <c r="AN203" s="22"/>
      <c r="AO203" s="22"/>
      <c r="AP203" s="3"/>
      <c r="AQ203" s="3"/>
      <c r="AR203" s="3"/>
      <c r="AS203" s="3"/>
      <c r="AT203" s="7"/>
      <c r="AU203" s="24"/>
      <c r="AV203" s="24"/>
      <c r="AW203" s="24"/>
      <c r="AX203" s="3"/>
      <c r="AY203" s="3"/>
      <c r="AZ203" s="3"/>
      <c r="BA203" s="3"/>
      <c r="BB203" s="3"/>
      <c r="BC203" s="24"/>
      <c r="BD203" s="24"/>
      <c r="BE203" s="24"/>
      <c r="BF203" s="3"/>
      <c r="BG203" s="3"/>
      <c r="BH203" s="3"/>
      <c r="BI203" s="3"/>
      <c r="BJ203" s="3"/>
      <c r="BK203" s="3"/>
      <c r="BR203" s="3"/>
    </row>
    <row r="204" spans="2:70" customFormat="1" x14ac:dyDescent="0.3">
      <c r="B204" s="6"/>
      <c r="C204" s="6"/>
      <c r="D204" s="6"/>
      <c r="E204" s="3"/>
      <c r="F204" s="23"/>
      <c r="G204" s="3"/>
      <c r="H204" s="3"/>
      <c r="M204" s="11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7"/>
      <c r="AE204" s="7"/>
      <c r="AF204" s="7"/>
      <c r="AG204" s="7"/>
      <c r="AH204" s="3"/>
      <c r="AI204" s="3"/>
      <c r="AJ204" s="3"/>
      <c r="AK204" s="3"/>
      <c r="AL204" s="7"/>
      <c r="AM204" s="22"/>
      <c r="AN204" s="22"/>
      <c r="AO204" s="22"/>
      <c r="AP204" s="3"/>
      <c r="AQ204" s="3"/>
      <c r="AR204" s="3"/>
      <c r="AS204" s="3"/>
      <c r="AT204" s="7"/>
      <c r="AU204" s="24"/>
      <c r="AV204" s="24"/>
      <c r="AW204" s="24"/>
      <c r="AX204" s="3"/>
      <c r="AY204" s="3"/>
      <c r="AZ204" s="3"/>
      <c r="BA204" s="3"/>
      <c r="BB204" s="3"/>
      <c r="BC204" s="24"/>
      <c r="BD204" s="24"/>
      <c r="BE204" s="24"/>
      <c r="BF204" s="3"/>
      <c r="BG204" s="3"/>
      <c r="BH204" s="3"/>
      <c r="BI204" s="3"/>
      <c r="BJ204" s="3"/>
      <c r="BK204" s="3"/>
      <c r="BR204" s="3"/>
    </row>
    <row r="205" spans="2:70" customFormat="1" x14ac:dyDescent="0.3">
      <c r="B205" s="6"/>
      <c r="C205" s="6"/>
      <c r="D205" s="6"/>
      <c r="E205" s="3"/>
      <c r="F205" s="23"/>
      <c r="G205" s="3"/>
      <c r="H205" s="3"/>
      <c r="M205" s="11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7"/>
      <c r="AE205" s="7"/>
      <c r="AF205" s="7"/>
      <c r="AG205" s="7"/>
      <c r="AH205" s="3"/>
      <c r="AI205" s="3"/>
      <c r="AJ205" s="3"/>
      <c r="AK205" s="3"/>
      <c r="AL205" s="7"/>
      <c r="AM205" s="22"/>
      <c r="AN205" s="22"/>
      <c r="AO205" s="22"/>
      <c r="AP205" s="3"/>
      <c r="AQ205" s="3"/>
      <c r="AR205" s="3"/>
      <c r="AS205" s="3"/>
      <c r="AT205" s="7"/>
      <c r="AU205" s="24"/>
      <c r="AV205" s="24"/>
      <c r="AW205" s="24"/>
      <c r="AX205" s="3"/>
      <c r="AY205" s="3"/>
      <c r="AZ205" s="3"/>
      <c r="BA205" s="3"/>
      <c r="BB205" s="3"/>
      <c r="BC205" s="24"/>
      <c r="BD205" s="24"/>
      <c r="BE205" s="24"/>
      <c r="BF205" s="3"/>
      <c r="BG205" s="3"/>
      <c r="BH205" s="3"/>
      <c r="BI205" s="3"/>
      <c r="BJ205" s="3"/>
      <c r="BK205" s="3"/>
      <c r="BR205" s="3"/>
    </row>
    <row r="206" spans="2:70" customFormat="1" x14ac:dyDescent="0.3">
      <c r="B206" s="6"/>
      <c r="C206" s="6"/>
      <c r="D206" s="6"/>
      <c r="E206" s="3"/>
      <c r="F206" s="23"/>
      <c r="G206" s="3"/>
      <c r="H206" s="3"/>
      <c r="M206" s="11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7"/>
      <c r="AE206" s="7"/>
      <c r="AF206" s="7"/>
      <c r="AG206" s="7"/>
      <c r="AH206" s="3"/>
      <c r="AI206" s="3"/>
      <c r="AJ206" s="3"/>
      <c r="AK206" s="3"/>
      <c r="AL206" s="7"/>
      <c r="AM206" s="22"/>
      <c r="AN206" s="22"/>
      <c r="AO206" s="22"/>
      <c r="AP206" s="3"/>
      <c r="AQ206" s="3"/>
      <c r="AR206" s="3"/>
      <c r="AS206" s="3"/>
      <c r="AT206" s="7"/>
      <c r="AU206" s="24"/>
      <c r="AV206" s="24"/>
      <c r="AW206" s="24"/>
      <c r="AX206" s="3"/>
      <c r="AY206" s="3"/>
      <c r="AZ206" s="3"/>
      <c r="BA206" s="3"/>
      <c r="BB206" s="3"/>
      <c r="BC206" s="24"/>
      <c r="BD206" s="24"/>
      <c r="BE206" s="24"/>
      <c r="BF206" s="3"/>
      <c r="BG206" s="3"/>
      <c r="BH206" s="3"/>
      <c r="BI206" s="3"/>
      <c r="BJ206" s="3"/>
      <c r="BK206" s="3"/>
      <c r="BR206" s="3"/>
    </row>
    <row r="207" spans="2:70" customFormat="1" x14ac:dyDescent="0.3">
      <c r="B207" s="6"/>
      <c r="C207" s="6"/>
      <c r="D207" s="6"/>
      <c r="E207" s="3"/>
      <c r="F207" s="23"/>
      <c r="G207" s="3"/>
      <c r="H207" s="3"/>
      <c r="M207" s="11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7"/>
      <c r="AE207" s="7"/>
      <c r="AF207" s="7"/>
      <c r="AG207" s="7"/>
      <c r="AH207" s="3"/>
      <c r="AI207" s="3"/>
      <c r="AJ207" s="3"/>
      <c r="AK207" s="3"/>
      <c r="AL207" s="7"/>
      <c r="AM207" s="22"/>
      <c r="AN207" s="22"/>
      <c r="AO207" s="22"/>
      <c r="AP207" s="3"/>
      <c r="AQ207" s="3"/>
      <c r="AR207" s="3"/>
      <c r="AS207" s="3"/>
      <c r="AT207" s="7"/>
      <c r="AU207" s="24"/>
      <c r="AV207" s="24"/>
      <c r="AW207" s="24"/>
      <c r="AX207" s="3"/>
      <c r="AY207" s="3"/>
      <c r="AZ207" s="3"/>
      <c r="BA207" s="3"/>
      <c r="BB207" s="3"/>
      <c r="BC207" s="24"/>
      <c r="BD207" s="24"/>
      <c r="BE207" s="24"/>
      <c r="BF207" s="3"/>
      <c r="BG207" s="3"/>
      <c r="BH207" s="3"/>
      <c r="BI207" s="3"/>
      <c r="BJ207" s="3"/>
      <c r="BK207" s="3"/>
      <c r="BR207" s="3"/>
    </row>
    <row r="208" spans="2:70" customFormat="1" x14ac:dyDescent="0.3">
      <c r="B208" s="6"/>
      <c r="C208" s="6"/>
      <c r="D208" s="6"/>
      <c r="E208" s="3"/>
      <c r="F208" s="23"/>
      <c r="G208" s="3"/>
      <c r="H208" s="3"/>
      <c r="M208" s="11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7"/>
      <c r="AE208" s="7"/>
      <c r="AF208" s="7"/>
      <c r="AG208" s="7"/>
      <c r="AH208" s="3"/>
      <c r="AI208" s="3"/>
      <c r="AJ208" s="3"/>
      <c r="AK208" s="3"/>
      <c r="AL208" s="7"/>
      <c r="AM208" s="22"/>
      <c r="AN208" s="22"/>
      <c r="AO208" s="22"/>
      <c r="AP208" s="3"/>
      <c r="AQ208" s="3"/>
      <c r="AR208" s="3"/>
      <c r="AS208" s="3"/>
      <c r="AT208" s="7"/>
      <c r="AU208" s="24"/>
      <c r="AV208" s="24"/>
      <c r="AW208" s="24"/>
      <c r="AX208" s="3"/>
      <c r="AY208" s="3"/>
      <c r="AZ208" s="3"/>
      <c r="BA208" s="3"/>
      <c r="BB208" s="3"/>
      <c r="BC208" s="24"/>
      <c r="BD208" s="24"/>
      <c r="BE208" s="24"/>
      <c r="BF208" s="3"/>
      <c r="BG208" s="3"/>
      <c r="BH208" s="3"/>
      <c r="BI208" s="3"/>
      <c r="BJ208" s="3"/>
      <c r="BK208" s="3"/>
      <c r="BR208" s="3"/>
    </row>
    <row r="209" spans="2:70" customFormat="1" x14ac:dyDescent="0.3">
      <c r="B209" s="6"/>
      <c r="C209" s="6"/>
      <c r="D209" s="6"/>
      <c r="E209" s="3"/>
      <c r="F209" s="23"/>
      <c r="G209" s="3"/>
      <c r="H209" s="3"/>
      <c r="M209" s="11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7"/>
      <c r="AE209" s="7"/>
      <c r="AF209" s="7"/>
      <c r="AG209" s="7"/>
      <c r="AH209" s="3"/>
      <c r="AI209" s="3"/>
      <c r="AJ209" s="3"/>
      <c r="AK209" s="3"/>
      <c r="AL209" s="7"/>
      <c r="AM209" s="22"/>
      <c r="AN209" s="22"/>
      <c r="AO209" s="22"/>
      <c r="AP209" s="3"/>
      <c r="AQ209" s="3"/>
      <c r="AR209" s="3"/>
      <c r="AS209" s="3"/>
      <c r="AT209" s="7"/>
      <c r="AU209" s="24"/>
      <c r="AV209" s="24"/>
      <c r="AW209" s="24"/>
      <c r="AX209" s="3"/>
      <c r="AY209" s="3"/>
      <c r="AZ209" s="3"/>
      <c r="BA209" s="3"/>
      <c r="BB209" s="3"/>
      <c r="BC209" s="24"/>
      <c r="BD209" s="24"/>
      <c r="BE209" s="24"/>
      <c r="BF209" s="3"/>
      <c r="BG209" s="3"/>
      <c r="BH209" s="3"/>
      <c r="BI209" s="3"/>
      <c r="BJ209" s="3"/>
      <c r="BK209" s="3"/>
      <c r="BR209" s="3"/>
    </row>
    <row r="210" spans="2:70" customFormat="1" x14ac:dyDescent="0.3">
      <c r="B210" s="6"/>
      <c r="C210" s="6"/>
      <c r="D210" s="6"/>
      <c r="E210" s="3"/>
      <c r="F210" s="23"/>
      <c r="G210" s="3"/>
      <c r="H210" s="3"/>
      <c r="M210" s="11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7"/>
      <c r="AE210" s="7"/>
      <c r="AF210" s="7"/>
      <c r="AG210" s="7"/>
      <c r="AH210" s="3"/>
      <c r="AI210" s="3"/>
      <c r="AJ210" s="3"/>
      <c r="AK210" s="3"/>
      <c r="AL210" s="7"/>
      <c r="AM210" s="22"/>
      <c r="AN210" s="22"/>
      <c r="AO210" s="22"/>
      <c r="AP210" s="3"/>
      <c r="AQ210" s="3"/>
      <c r="AR210" s="3"/>
      <c r="AS210" s="3"/>
      <c r="AT210" s="7"/>
      <c r="AU210" s="24"/>
      <c r="AV210" s="24"/>
      <c r="AW210" s="24"/>
      <c r="AX210" s="3"/>
      <c r="AY210" s="3"/>
      <c r="AZ210" s="3"/>
      <c r="BA210" s="3"/>
      <c r="BB210" s="3"/>
      <c r="BC210" s="24"/>
      <c r="BD210" s="24"/>
      <c r="BE210" s="24"/>
      <c r="BF210" s="3"/>
      <c r="BG210" s="3"/>
      <c r="BH210" s="3"/>
      <c r="BI210" s="3"/>
      <c r="BJ210" s="3"/>
      <c r="BK210" s="3"/>
      <c r="BR210" s="3"/>
    </row>
    <row r="211" spans="2:70" customFormat="1" x14ac:dyDescent="0.3">
      <c r="B211" s="6"/>
      <c r="C211" s="6"/>
      <c r="D211" s="6"/>
      <c r="E211" s="3"/>
      <c r="F211" s="23"/>
      <c r="G211" s="3"/>
      <c r="H211" s="3"/>
      <c r="M211" s="11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7"/>
      <c r="AE211" s="7"/>
      <c r="AF211" s="7"/>
      <c r="AG211" s="7"/>
      <c r="AH211" s="3"/>
      <c r="AI211" s="3"/>
      <c r="AJ211" s="3"/>
      <c r="AK211" s="3"/>
      <c r="AL211" s="7"/>
      <c r="AM211" s="22"/>
      <c r="AN211" s="22"/>
      <c r="AO211" s="22"/>
      <c r="AP211" s="3"/>
      <c r="AQ211" s="3"/>
      <c r="AR211" s="3"/>
      <c r="AS211" s="3"/>
      <c r="AT211" s="7"/>
      <c r="AU211" s="24"/>
      <c r="AV211" s="24"/>
      <c r="AW211" s="24"/>
      <c r="AX211" s="3"/>
      <c r="AY211" s="3"/>
      <c r="AZ211" s="3"/>
      <c r="BA211" s="3"/>
      <c r="BB211" s="3"/>
      <c r="BC211" s="24"/>
      <c r="BD211" s="24"/>
      <c r="BE211" s="24"/>
      <c r="BF211" s="3"/>
      <c r="BG211" s="3"/>
      <c r="BH211" s="3"/>
      <c r="BI211" s="3"/>
      <c r="BJ211" s="3"/>
      <c r="BK211" s="3"/>
      <c r="BR211" s="3"/>
    </row>
    <row r="212" spans="2:70" customFormat="1" x14ac:dyDescent="0.3">
      <c r="B212" s="6"/>
      <c r="C212" s="6"/>
      <c r="D212" s="6"/>
      <c r="E212" s="3"/>
      <c r="F212" s="23"/>
      <c r="G212" s="3"/>
      <c r="H212" s="3"/>
      <c r="M212" s="11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7"/>
      <c r="AE212" s="7"/>
      <c r="AF212" s="7"/>
      <c r="AG212" s="7"/>
      <c r="AH212" s="3"/>
      <c r="AI212" s="3"/>
      <c r="AJ212" s="3"/>
      <c r="AK212" s="3"/>
      <c r="AL212" s="7"/>
      <c r="AM212" s="22"/>
      <c r="AN212" s="22"/>
      <c r="AO212" s="22"/>
      <c r="AP212" s="3"/>
      <c r="AQ212" s="3"/>
      <c r="AR212" s="3"/>
      <c r="AS212" s="3"/>
      <c r="AT212" s="7"/>
      <c r="AU212" s="24"/>
      <c r="AV212" s="24"/>
      <c r="AW212" s="24"/>
      <c r="AX212" s="3"/>
      <c r="AY212" s="3"/>
      <c r="AZ212" s="3"/>
      <c r="BA212" s="3"/>
      <c r="BB212" s="3"/>
      <c r="BC212" s="24"/>
      <c r="BD212" s="24"/>
      <c r="BE212" s="24"/>
      <c r="BF212" s="3"/>
      <c r="BG212" s="3"/>
      <c r="BH212" s="3"/>
      <c r="BI212" s="3"/>
      <c r="BJ212" s="3"/>
      <c r="BK212" s="3"/>
      <c r="BR212" s="3"/>
    </row>
    <row r="213" spans="2:70" customFormat="1" x14ac:dyDescent="0.3">
      <c r="B213" s="6"/>
      <c r="C213" s="6"/>
      <c r="D213" s="6"/>
      <c r="E213" s="3"/>
      <c r="F213" s="23"/>
      <c r="G213" s="3"/>
      <c r="H213" s="3"/>
      <c r="M213" s="11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7"/>
      <c r="AE213" s="7"/>
      <c r="AF213" s="7"/>
      <c r="AG213" s="7"/>
      <c r="AH213" s="3"/>
      <c r="AI213" s="3"/>
      <c r="AJ213" s="3"/>
      <c r="AK213" s="3"/>
      <c r="AL213" s="7"/>
      <c r="AM213" s="22"/>
      <c r="AN213" s="22"/>
      <c r="AO213" s="22"/>
      <c r="AP213" s="3"/>
      <c r="AQ213" s="3"/>
      <c r="AR213" s="3"/>
      <c r="AS213" s="3"/>
      <c r="AT213" s="7"/>
      <c r="AU213" s="24"/>
      <c r="AV213" s="24"/>
      <c r="AW213" s="24"/>
      <c r="AX213" s="3"/>
      <c r="AY213" s="3"/>
      <c r="AZ213" s="3"/>
      <c r="BA213" s="3"/>
      <c r="BB213" s="3"/>
      <c r="BC213" s="24"/>
      <c r="BD213" s="24"/>
      <c r="BE213" s="24"/>
      <c r="BF213" s="3"/>
      <c r="BG213" s="3"/>
      <c r="BH213" s="3"/>
      <c r="BI213" s="3"/>
      <c r="BJ213" s="3"/>
      <c r="BK213" s="3"/>
      <c r="BR213" s="3"/>
    </row>
    <row r="214" spans="2:70" customFormat="1" x14ac:dyDescent="0.3">
      <c r="B214" s="6"/>
      <c r="C214" s="6"/>
      <c r="D214" s="6"/>
      <c r="E214" s="3"/>
      <c r="F214" s="23"/>
      <c r="G214" s="3"/>
      <c r="H214" s="3"/>
      <c r="M214" s="11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7"/>
      <c r="AE214" s="7"/>
      <c r="AF214" s="7"/>
      <c r="AG214" s="7"/>
      <c r="AH214" s="3"/>
      <c r="AI214" s="3"/>
      <c r="AJ214" s="3"/>
      <c r="AK214" s="3"/>
      <c r="AL214" s="7"/>
      <c r="AM214" s="22"/>
      <c r="AN214" s="22"/>
      <c r="AO214" s="22"/>
      <c r="AP214" s="3"/>
      <c r="AQ214" s="3"/>
      <c r="AR214" s="3"/>
      <c r="AS214" s="3"/>
      <c r="AT214" s="7"/>
      <c r="AU214" s="24"/>
      <c r="AV214" s="24"/>
      <c r="AW214" s="24"/>
      <c r="AX214" s="3"/>
      <c r="AY214" s="3"/>
      <c r="AZ214" s="3"/>
      <c r="BA214" s="3"/>
      <c r="BB214" s="3"/>
      <c r="BC214" s="24"/>
      <c r="BD214" s="24"/>
      <c r="BE214" s="24"/>
      <c r="BF214" s="3"/>
      <c r="BG214" s="3"/>
      <c r="BH214" s="3"/>
      <c r="BI214" s="3"/>
      <c r="BJ214" s="3"/>
      <c r="BK214" s="3"/>
      <c r="BR214" s="3"/>
    </row>
    <row r="215" spans="2:70" customFormat="1" x14ac:dyDescent="0.3">
      <c r="B215" s="6"/>
      <c r="C215" s="6"/>
      <c r="D215" s="6"/>
      <c r="E215" s="3"/>
      <c r="F215" s="23"/>
      <c r="G215" s="3"/>
      <c r="H215" s="3"/>
      <c r="M215" s="11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7"/>
      <c r="AE215" s="7"/>
      <c r="AF215" s="7"/>
      <c r="AG215" s="7"/>
      <c r="AH215" s="3"/>
      <c r="AI215" s="3"/>
      <c r="AJ215" s="3"/>
      <c r="AK215" s="3"/>
      <c r="AL215" s="7"/>
      <c r="AM215" s="22"/>
      <c r="AN215" s="22"/>
      <c r="AO215" s="22"/>
      <c r="AP215" s="3"/>
      <c r="AQ215" s="3"/>
      <c r="AR215" s="3"/>
      <c r="AS215" s="3"/>
      <c r="AT215" s="7"/>
      <c r="AU215" s="24"/>
      <c r="AV215" s="24"/>
      <c r="AW215" s="24"/>
      <c r="AX215" s="3"/>
      <c r="AY215" s="3"/>
      <c r="AZ215" s="3"/>
      <c r="BA215" s="3"/>
      <c r="BB215" s="3"/>
      <c r="BC215" s="24"/>
      <c r="BD215" s="24"/>
      <c r="BE215" s="24"/>
      <c r="BF215" s="3"/>
      <c r="BG215" s="3"/>
      <c r="BH215" s="3"/>
      <c r="BI215" s="3"/>
      <c r="BJ215" s="3"/>
      <c r="BK215" s="3"/>
      <c r="BR215" s="3"/>
    </row>
    <row r="216" spans="2:70" customFormat="1" x14ac:dyDescent="0.3">
      <c r="B216" s="6"/>
      <c r="C216" s="6"/>
      <c r="D216" s="6"/>
      <c r="E216" s="3"/>
      <c r="F216" s="23"/>
      <c r="G216" s="3"/>
      <c r="H216" s="3"/>
      <c r="M216" s="11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7"/>
      <c r="AE216" s="7"/>
      <c r="AF216" s="7"/>
      <c r="AG216" s="7"/>
      <c r="AH216" s="3"/>
      <c r="AI216" s="3"/>
      <c r="AJ216" s="3"/>
      <c r="AK216" s="3"/>
      <c r="AL216" s="7"/>
      <c r="AM216" s="22"/>
      <c r="AN216" s="22"/>
      <c r="AO216" s="22"/>
      <c r="AP216" s="3"/>
      <c r="AQ216" s="3"/>
      <c r="AR216" s="3"/>
      <c r="AS216" s="3"/>
      <c r="AT216" s="7"/>
      <c r="AU216" s="24"/>
      <c r="AV216" s="24"/>
      <c r="AW216" s="24"/>
      <c r="AX216" s="3"/>
      <c r="AY216" s="3"/>
      <c r="AZ216" s="3"/>
      <c r="BA216" s="3"/>
      <c r="BB216" s="3"/>
      <c r="BC216" s="24"/>
      <c r="BD216" s="24"/>
      <c r="BE216" s="24"/>
      <c r="BF216" s="3"/>
      <c r="BG216" s="3"/>
      <c r="BH216" s="3"/>
      <c r="BI216" s="3"/>
      <c r="BJ216" s="3"/>
      <c r="BK216" s="3"/>
      <c r="BR216" s="3"/>
    </row>
    <row r="217" spans="2:70" customFormat="1" x14ac:dyDescent="0.3">
      <c r="B217" s="6"/>
      <c r="C217" s="6"/>
      <c r="D217" s="6"/>
      <c r="E217" s="3"/>
      <c r="F217" s="23"/>
      <c r="G217" s="3"/>
      <c r="H217" s="3"/>
      <c r="M217" s="11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7"/>
      <c r="AE217" s="7"/>
      <c r="AF217" s="7"/>
      <c r="AG217" s="7"/>
      <c r="AH217" s="3"/>
      <c r="AI217" s="3"/>
      <c r="AJ217" s="3"/>
      <c r="AK217" s="3"/>
      <c r="AL217" s="7"/>
      <c r="AM217" s="22"/>
      <c r="AN217" s="22"/>
      <c r="AO217" s="22"/>
      <c r="AP217" s="3"/>
      <c r="AQ217" s="3"/>
      <c r="AR217" s="3"/>
      <c r="AS217" s="3"/>
      <c r="AT217" s="7"/>
      <c r="AU217" s="24"/>
      <c r="AV217" s="24"/>
      <c r="AW217" s="24"/>
      <c r="AX217" s="3"/>
      <c r="AY217" s="3"/>
      <c r="AZ217" s="3"/>
      <c r="BA217" s="3"/>
      <c r="BB217" s="3"/>
      <c r="BC217" s="24"/>
      <c r="BD217" s="24"/>
      <c r="BE217" s="24"/>
      <c r="BF217" s="3"/>
      <c r="BG217" s="3"/>
      <c r="BH217" s="3"/>
      <c r="BI217" s="3"/>
      <c r="BJ217" s="3"/>
      <c r="BK217" s="3"/>
      <c r="BR217" s="3"/>
    </row>
    <row r="218" spans="2:70" customFormat="1" x14ac:dyDescent="0.3">
      <c r="B218" s="6"/>
      <c r="C218" s="6"/>
      <c r="D218" s="6"/>
      <c r="E218" s="3"/>
      <c r="F218" s="23"/>
      <c r="G218" s="3"/>
      <c r="H218" s="3"/>
      <c r="M218" s="11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7"/>
      <c r="AE218" s="7"/>
      <c r="AF218" s="7"/>
      <c r="AG218" s="7"/>
      <c r="AH218" s="3"/>
      <c r="AI218" s="3"/>
      <c r="AJ218" s="3"/>
      <c r="AK218" s="3"/>
      <c r="AL218" s="7"/>
      <c r="AM218" s="22"/>
      <c r="AN218" s="22"/>
      <c r="AO218" s="22"/>
      <c r="AP218" s="3"/>
      <c r="AQ218" s="3"/>
      <c r="AR218" s="3"/>
      <c r="AS218" s="3"/>
      <c r="AT218" s="7"/>
      <c r="AU218" s="24"/>
      <c r="AV218" s="24"/>
      <c r="AW218" s="24"/>
      <c r="AX218" s="3"/>
      <c r="AY218" s="3"/>
      <c r="AZ218" s="3"/>
      <c r="BA218" s="3"/>
      <c r="BB218" s="3"/>
      <c r="BC218" s="24"/>
      <c r="BD218" s="24"/>
      <c r="BE218" s="24"/>
      <c r="BF218" s="3"/>
      <c r="BG218" s="3"/>
      <c r="BH218" s="3"/>
      <c r="BI218" s="3"/>
      <c r="BJ218" s="3"/>
      <c r="BK218" s="3"/>
      <c r="BR218" s="3"/>
    </row>
    <row r="219" spans="2:70" customFormat="1" x14ac:dyDescent="0.3">
      <c r="B219" s="6"/>
      <c r="C219" s="6"/>
      <c r="D219" s="6"/>
      <c r="E219" s="3"/>
      <c r="F219" s="23"/>
      <c r="G219" s="3"/>
      <c r="H219" s="3"/>
      <c r="M219" s="11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7"/>
      <c r="AE219" s="7"/>
      <c r="AF219" s="7"/>
      <c r="AG219" s="7"/>
      <c r="AH219" s="3"/>
      <c r="AI219" s="3"/>
      <c r="AJ219" s="3"/>
      <c r="AK219" s="3"/>
      <c r="AL219" s="7"/>
      <c r="AM219" s="22"/>
      <c r="AN219" s="22"/>
      <c r="AO219" s="22"/>
      <c r="AP219" s="3"/>
      <c r="AQ219" s="3"/>
      <c r="AR219" s="3"/>
      <c r="AS219" s="3"/>
      <c r="AT219" s="7"/>
      <c r="AU219" s="24"/>
      <c r="AV219" s="24"/>
      <c r="AW219" s="24"/>
      <c r="AX219" s="3"/>
      <c r="AY219" s="3"/>
      <c r="AZ219" s="3"/>
      <c r="BA219" s="3"/>
      <c r="BB219" s="3"/>
      <c r="BC219" s="24"/>
      <c r="BD219" s="24"/>
      <c r="BE219" s="24"/>
      <c r="BF219" s="3"/>
      <c r="BG219" s="3"/>
      <c r="BH219" s="3"/>
      <c r="BI219" s="3"/>
      <c r="BJ219" s="3"/>
      <c r="BK219" s="3"/>
      <c r="BR219" s="3"/>
    </row>
    <row r="220" spans="2:70" customFormat="1" x14ac:dyDescent="0.3">
      <c r="B220" s="6"/>
      <c r="C220" s="6"/>
      <c r="D220" s="6"/>
      <c r="E220" s="3"/>
      <c r="F220" s="23"/>
      <c r="G220" s="3"/>
      <c r="H220" s="3"/>
      <c r="M220" s="11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7"/>
      <c r="AE220" s="7"/>
      <c r="AF220" s="7"/>
      <c r="AG220" s="7"/>
      <c r="AH220" s="3"/>
      <c r="AI220" s="3"/>
      <c r="AJ220" s="3"/>
      <c r="AK220" s="3"/>
      <c r="AL220" s="7"/>
      <c r="AM220" s="22"/>
      <c r="AN220" s="22"/>
      <c r="AO220" s="22"/>
      <c r="AP220" s="3"/>
      <c r="AQ220" s="3"/>
      <c r="AR220" s="3"/>
      <c r="AS220" s="3"/>
      <c r="AT220" s="7"/>
      <c r="AU220" s="24"/>
      <c r="AV220" s="24"/>
      <c r="AW220" s="24"/>
      <c r="AX220" s="3"/>
      <c r="AY220" s="3"/>
      <c r="AZ220" s="3"/>
      <c r="BA220" s="3"/>
      <c r="BB220" s="3"/>
      <c r="BC220" s="24"/>
      <c r="BD220" s="24"/>
      <c r="BE220" s="24"/>
      <c r="BF220" s="3"/>
      <c r="BG220" s="3"/>
      <c r="BH220" s="3"/>
      <c r="BI220" s="3"/>
      <c r="BJ220" s="3"/>
      <c r="BK220" s="3"/>
      <c r="BR220" s="3"/>
    </row>
    <row r="221" spans="2:70" customFormat="1" x14ac:dyDescent="0.3">
      <c r="B221" s="6"/>
      <c r="C221" s="6"/>
      <c r="D221" s="6"/>
      <c r="E221" s="3"/>
      <c r="F221" s="23"/>
      <c r="G221" s="3"/>
      <c r="H221" s="3"/>
      <c r="M221" s="11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7"/>
      <c r="AE221" s="7"/>
      <c r="AF221" s="7"/>
      <c r="AG221" s="7"/>
      <c r="AH221" s="3"/>
      <c r="AI221" s="3"/>
      <c r="AJ221" s="3"/>
      <c r="AK221" s="3"/>
      <c r="AL221" s="7"/>
      <c r="AM221" s="22"/>
      <c r="AN221" s="22"/>
      <c r="AO221" s="22"/>
      <c r="AP221" s="3"/>
      <c r="AQ221" s="3"/>
      <c r="AR221" s="3"/>
      <c r="AS221" s="3"/>
      <c r="AT221" s="7"/>
      <c r="AU221" s="24"/>
      <c r="AV221" s="24"/>
      <c r="AW221" s="24"/>
      <c r="AX221" s="3"/>
      <c r="AY221" s="3"/>
      <c r="AZ221" s="3"/>
      <c r="BA221" s="3"/>
      <c r="BB221" s="3"/>
      <c r="BC221" s="24"/>
      <c r="BD221" s="24"/>
      <c r="BE221" s="24"/>
      <c r="BF221" s="3"/>
      <c r="BG221" s="3"/>
      <c r="BH221" s="3"/>
      <c r="BI221" s="3"/>
      <c r="BJ221" s="3"/>
      <c r="BK221" s="3"/>
      <c r="BR221" s="3"/>
    </row>
    <row r="222" spans="2:70" customFormat="1" x14ac:dyDescent="0.3">
      <c r="B222" s="6"/>
      <c r="C222" s="6"/>
      <c r="D222" s="6"/>
      <c r="E222" s="3"/>
      <c r="F222" s="23"/>
      <c r="G222" s="3"/>
      <c r="H222" s="3"/>
      <c r="M222" s="11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7"/>
      <c r="AE222" s="7"/>
      <c r="AF222" s="7"/>
      <c r="AG222" s="7"/>
      <c r="AH222" s="3"/>
      <c r="AI222" s="3"/>
      <c r="AJ222" s="3"/>
      <c r="AK222" s="3"/>
      <c r="AL222" s="7"/>
      <c r="AM222" s="22"/>
      <c r="AN222" s="22"/>
      <c r="AO222" s="22"/>
      <c r="AP222" s="3"/>
      <c r="AQ222" s="3"/>
      <c r="AR222" s="3"/>
      <c r="AS222" s="3"/>
      <c r="AT222" s="7"/>
      <c r="AU222" s="24"/>
      <c r="AV222" s="24"/>
      <c r="AW222" s="24"/>
      <c r="AX222" s="3"/>
      <c r="AY222" s="3"/>
      <c r="AZ222" s="3"/>
      <c r="BA222" s="3"/>
      <c r="BB222" s="3"/>
      <c r="BC222" s="24"/>
      <c r="BD222" s="24"/>
      <c r="BE222" s="24"/>
      <c r="BF222" s="3"/>
      <c r="BG222" s="3"/>
      <c r="BH222" s="3"/>
      <c r="BI222" s="3"/>
      <c r="BJ222" s="3"/>
      <c r="BK222" s="3"/>
      <c r="BR222" s="3"/>
    </row>
    <row r="223" spans="2:70" customFormat="1" x14ac:dyDescent="0.3">
      <c r="B223" s="6"/>
      <c r="C223" s="6"/>
      <c r="D223" s="6"/>
      <c r="E223" s="3"/>
      <c r="F223" s="23"/>
      <c r="G223" s="3"/>
      <c r="H223" s="3"/>
      <c r="M223" s="11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7"/>
      <c r="AE223" s="7"/>
      <c r="AF223" s="7"/>
      <c r="AG223" s="7"/>
      <c r="AH223" s="3"/>
      <c r="AI223" s="3"/>
      <c r="AJ223" s="3"/>
      <c r="AK223" s="3"/>
      <c r="AL223" s="7"/>
      <c r="AM223" s="22"/>
      <c r="AN223" s="22"/>
      <c r="AO223" s="22"/>
      <c r="AP223" s="3"/>
      <c r="AQ223" s="3"/>
      <c r="AR223" s="3"/>
      <c r="AS223" s="3"/>
      <c r="AT223" s="7"/>
      <c r="AU223" s="24"/>
      <c r="AV223" s="24"/>
      <c r="AW223" s="24"/>
      <c r="AX223" s="3"/>
      <c r="AY223" s="3"/>
      <c r="AZ223" s="3"/>
      <c r="BA223" s="3"/>
      <c r="BB223" s="3"/>
      <c r="BC223" s="24"/>
      <c r="BD223" s="24"/>
      <c r="BE223" s="24"/>
      <c r="BF223" s="3"/>
      <c r="BG223" s="3"/>
      <c r="BH223" s="3"/>
      <c r="BI223" s="3"/>
      <c r="BJ223" s="3"/>
      <c r="BK223" s="3"/>
      <c r="BR223" s="3"/>
    </row>
    <row r="224" spans="2:70" customFormat="1" x14ac:dyDescent="0.3">
      <c r="B224" s="6"/>
      <c r="C224" s="6"/>
      <c r="D224" s="6"/>
      <c r="E224" s="3"/>
      <c r="F224" s="23"/>
      <c r="G224" s="3"/>
      <c r="H224" s="3"/>
      <c r="M224" s="11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7"/>
      <c r="AE224" s="7"/>
      <c r="AF224" s="7"/>
      <c r="AG224" s="7"/>
      <c r="AH224" s="3"/>
      <c r="AI224" s="3"/>
      <c r="AJ224" s="3"/>
      <c r="AK224" s="3"/>
      <c r="AL224" s="7"/>
      <c r="AM224" s="22"/>
      <c r="AN224" s="22"/>
      <c r="AO224" s="22"/>
      <c r="AP224" s="3"/>
      <c r="AQ224" s="3"/>
      <c r="AR224" s="3"/>
      <c r="AS224" s="3"/>
      <c r="AT224" s="7"/>
      <c r="AU224" s="24"/>
      <c r="AV224" s="24"/>
      <c r="AW224" s="24"/>
      <c r="AX224" s="3"/>
      <c r="AY224" s="3"/>
      <c r="AZ224" s="3"/>
      <c r="BA224" s="3"/>
      <c r="BB224" s="3"/>
      <c r="BC224" s="24"/>
      <c r="BD224" s="24"/>
      <c r="BE224" s="24"/>
      <c r="BF224" s="3"/>
      <c r="BG224" s="3"/>
      <c r="BH224" s="3"/>
      <c r="BI224" s="3"/>
      <c r="BJ224" s="3"/>
      <c r="BK224" s="3"/>
      <c r="BR224" s="3"/>
    </row>
    <row r="225" spans="2:70" customFormat="1" x14ac:dyDescent="0.3">
      <c r="B225" s="6"/>
      <c r="C225" s="6"/>
      <c r="D225" s="6"/>
      <c r="E225" s="3"/>
      <c r="F225" s="23"/>
      <c r="G225" s="3"/>
      <c r="H225" s="3"/>
      <c r="M225" s="11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7"/>
      <c r="AE225" s="7"/>
      <c r="AF225" s="7"/>
      <c r="AG225" s="7"/>
      <c r="AH225" s="3"/>
      <c r="AI225" s="3"/>
      <c r="AJ225" s="3"/>
      <c r="AK225" s="3"/>
      <c r="AL225" s="7"/>
      <c r="AM225" s="22"/>
      <c r="AN225" s="22"/>
      <c r="AO225" s="22"/>
      <c r="AP225" s="3"/>
      <c r="AQ225" s="3"/>
      <c r="AR225" s="3"/>
      <c r="AS225" s="3"/>
      <c r="AT225" s="7"/>
      <c r="AU225" s="24"/>
      <c r="AV225" s="24"/>
      <c r="AW225" s="24"/>
      <c r="AX225" s="3"/>
      <c r="AY225" s="3"/>
      <c r="AZ225" s="3"/>
      <c r="BA225" s="3"/>
      <c r="BB225" s="3"/>
      <c r="BC225" s="24"/>
      <c r="BD225" s="24"/>
      <c r="BE225" s="24"/>
      <c r="BF225" s="3"/>
      <c r="BG225" s="3"/>
      <c r="BH225" s="3"/>
      <c r="BI225" s="3"/>
      <c r="BJ225" s="3"/>
      <c r="BK225" s="3"/>
      <c r="BR225" s="3"/>
    </row>
    <row r="226" spans="2:70" customFormat="1" x14ac:dyDescent="0.3">
      <c r="B226" s="6"/>
      <c r="C226" s="6"/>
      <c r="D226" s="6"/>
      <c r="E226" s="3"/>
      <c r="F226" s="23"/>
      <c r="G226" s="3"/>
      <c r="H226" s="3"/>
      <c r="M226" s="11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7"/>
      <c r="AE226" s="7"/>
      <c r="AF226" s="7"/>
      <c r="AG226" s="7"/>
      <c r="AH226" s="3"/>
      <c r="AI226" s="3"/>
      <c r="AJ226" s="3"/>
      <c r="AK226" s="3"/>
      <c r="AL226" s="7"/>
      <c r="AM226" s="22"/>
      <c r="AN226" s="22"/>
      <c r="AO226" s="22"/>
      <c r="AP226" s="3"/>
      <c r="AQ226" s="3"/>
      <c r="AR226" s="3"/>
      <c r="AS226" s="3"/>
      <c r="AT226" s="7"/>
      <c r="AU226" s="24"/>
      <c r="AV226" s="24"/>
      <c r="AW226" s="24"/>
      <c r="AX226" s="3"/>
      <c r="AY226" s="3"/>
      <c r="AZ226" s="3"/>
      <c r="BA226" s="3"/>
      <c r="BB226" s="3"/>
      <c r="BC226" s="24"/>
      <c r="BD226" s="24"/>
      <c r="BE226" s="24"/>
      <c r="BF226" s="3"/>
      <c r="BG226" s="3"/>
      <c r="BH226" s="3"/>
      <c r="BI226" s="3"/>
      <c r="BJ226" s="3"/>
      <c r="BK226" s="3"/>
      <c r="BR226" s="3"/>
    </row>
    <row r="227" spans="2:70" customFormat="1" x14ac:dyDescent="0.3">
      <c r="B227" s="6"/>
      <c r="C227" s="6"/>
      <c r="D227" s="6"/>
      <c r="E227" s="3"/>
      <c r="F227" s="23"/>
      <c r="G227" s="3"/>
      <c r="H227" s="3"/>
      <c r="M227" s="11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7"/>
      <c r="AE227" s="7"/>
      <c r="AF227" s="7"/>
      <c r="AG227" s="7"/>
      <c r="AH227" s="3"/>
      <c r="AI227" s="3"/>
      <c r="AJ227" s="3"/>
      <c r="AK227" s="3"/>
      <c r="AL227" s="7"/>
      <c r="AM227" s="22"/>
      <c r="AN227" s="22"/>
      <c r="AO227" s="22"/>
      <c r="AP227" s="3"/>
      <c r="AQ227" s="3"/>
      <c r="AR227" s="3"/>
      <c r="AS227" s="3"/>
      <c r="AT227" s="7"/>
      <c r="AU227" s="24"/>
      <c r="AV227" s="24"/>
      <c r="AW227" s="24"/>
      <c r="AX227" s="3"/>
      <c r="AY227" s="3"/>
      <c r="AZ227" s="3"/>
      <c r="BA227" s="3"/>
      <c r="BB227" s="3"/>
      <c r="BC227" s="24"/>
      <c r="BD227" s="24"/>
      <c r="BE227" s="24"/>
      <c r="BF227" s="3"/>
      <c r="BG227" s="3"/>
      <c r="BH227" s="3"/>
      <c r="BI227" s="3"/>
      <c r="BJ227" s="3"/>
      <c r="BK227" s="3"/>
      <c r="BR227" s="3"/>
    </row>
    <row r="228" spans="2:70" customFormat="1" x14ac:dyDescent="0.3">
      <c r="B228" s="6"/>
      <c r="C228" s="6"/>
      <c r="D228" s="6"/>
      <c r="E228" s="3"/>
      <c r="F228" s="23"/>
      <c r="G228" s="3"/>
      <c r="H228" s="3"/>
      <c r="M228" s="11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7"/>
      <c r="AE228" s="7"/>
      <c r="AF228" s="7"/>
      <c r="AG228" s="7"/>
      <c r="AH228" s="3"/>
      <c r="AI228" s="3"/>
      <c r="AJ228" s="3"/>
      <c r="AK228" s="3"/>
      <c r="AL228" s="7"/>
      <c r="AM228" s="22"/>
      <c r="AN228" s="22"/>
      <c r="AO228" s="22"/>
      <c r="AP228" s="3"/>
      <c r="AQ228" s="3"/>
      <c r="AR228" s="3"/>
      <c r="AS228" s="3"/>
      <c r="AT228" s="7"/>
      <c r="AU228" s="24"/>
      <c r="AV228" s="24"/>
      <c r="AW228" s="24"/>
      <c r="AX228" s="3"/>
      <c r="AY228" s="3"/>
      <c r="AZ228" s="3"/>
      <c r="BA228" s="3"/>
      <c r="BB228" s="3"/>
      <c r="BC228" s="24"/>
      <c r="BD228" s="24"/>
      <c r="BE228" s="24"/>
      <c r="BF228" s="3"/>
      <c r="BG228" s="3"/>
      <c r="BH228" s="3"/>
      <c r="BI228" s="3"/>
      <c r="BJ228" s="3"/>
      <c r="BK228" s="3"/>
      <c r="BR228" s="3"/>
    </row>
    <row r="229" spans="2:70" customFormat="1" x14ac:dyDescent="0.3">
      <c r="B229" s="6"/>
      <c r="C229" s="6"/>
      <c r="D229" s="6"/>
      <c r="E229" s="3"/>
      <c r="F229" s="23"/>
      <c r="G229" s="3"/>
      <c r="H229" s="3"/>
      <c r="M229" s="11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7"/>
      <c r="AE229" s="7"/>
      <c r="AF229" s="7"/>
      <c r="AG229" s="7"/>
      <c r="AH229" s="3"/>
      <c r="AI229" s="3"/>
      <c r="AJ229" s="3"/>
      <c r="AK229" s="3"/>
      <c r="AL229" s="7"/>
      <c r="AM229" s="22"/>
      <c r="AN229" s="22"/>
      <c r="AO229" s="22"/>
      <c r="AP229" s="3"/>
      <c r="AQ229" s="3"/>
      <c r="AR229" s="3"/>
      <c r="AS229" s="3"/>
      <c r="AT229" s="7"/>
      <c r="AU229" s="24"/>
      <c r="AV229" s="24"/>
      <c r="AW229" s="24"/>
      <c r="AX229" s="3"/>
      <c r="AY229" s="3"/>
      <c r="AZ229" s="3"/>
      <c r="BA229" s="3"/>
      <c r="BB229" s="3"/>
      <c r="BC229" s="24"/>
      <c r="BD229" s="24"/>
      <c r="BE229" s="24"/>
      <c r="BF229" s="3"/>
      <c r="BG229" s="3"/>
      <c r="BH229" s="3"/>
      <c r="BI229" s="3"/>
      <c r="BJ229" s="3"/>
      <c r="BK229" s="3"/>
      <c r="BR229" s="3"/>
    </row>
    <row r="230" spans="2:70" customFormat="1" x14ac:dyDescent="0.3">
      <c r="B230" s="6"/>
      <c r="C230" s="6"/>
      <c r="D230" s="6"/>
      <c r="E230" s="3"/>
      <c r="F230" s="23"/>
      <c r="G230" s="3"/>
      <c r="H230" s="3"/>
      <c r="M230" s="11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7"/>
      <c r="AE230" s="7"/>
      <c r="AF230" s="7"/>
      <c r="AG230" s="7"/>
      <c r="AH230" s="3"/>
      <c r="AI230" s="3"/>
      <c r="AJ230" s="3"/>
      <c r="AK230" s="3"/>
      <c r="AL230" s="7"/>
      <c r="AM230" s="22"/>
      <c r="AN230" s="22"/>
      <c r="AO230" s="22"/>
      <c r="AP230" s="3"/>
      <c r="AQ230" s="3"/>
      <c r="AR230" s="3"/>
      <c r="AS230" s="3"/>
      <c r="AT230" s="7"/>
      <c r="AU230" s="24"/>
      <c r="AV230" s="24"/>
      <c r="AW230" s="24"/>
      <c r="AX230" s="3"/>
      <c r="AY230" s="3"/>
      <c r="AZ230" s="3"/>
      <c r="BA230" s="3"/>
      <c r="BB230" s="3"/>
      <c r="BC230" s="24"/>
      <c r="BD230" s="24"/>
      <c r="BE230" s="24"/>
      <c r="BF230" s="3"/>
      <c r="BG230" s="3"/>
      <c r="BH230" s="3"/>
      <c r="BI230" s="3"/>
      <c r="BJ230" s="3"/>
      <c r="BK230" s="3"/>
      <c r="BR230" s="3"/>
    </row>
    <row r="231" spans="2:70" customFormat="1" x14ac:dyDescent="0.3">
      <c r="B231" s="6"/>
      <c r="C231" s="6"/>
      <c r="D231" s="6"/>
      <c r="E231" s="3"/>
      <c r="F231" s="23"/>
      <c r="G231" s="3"/>
      <c r="H231" s="3"/>
      <c r="M231" s="11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7"/>
      <c r="AE231" s="7"/>
      <c r="AF231" s="7"/>
      <c r="AG231" s="7"/>
      <c r="AH231" s="3"/>
      <c r="AI231" s="3"/>
      <c r="AJ231" s="3"/>
      <c r="AK231" s="3"/>
      <c r="AL231" s="7"/>
      <c r="AM231" s="22"/>
      <c r="AN231" s="22"/>
      <c r="AO231" s="22"/>
      <c r="AP231" s="3"/>
      <c r="AQ231" s="3"/>
      <c r="AR231" s="3"/>
      <c r="AS231" s="3"/>
      <c r="AT231" s="7"/>
      <c r="AU231" s="24"/>
      <c r="AV231" s="24"/>
      <c r="AW231" s="24"/>
      <c r="AX231" s="3"/>
      <c r="AY231" s="3"/>
      <c r="AZ231" s="3"/>
      <c r="BA231" s="3"/>
      <c r="BB231" s="3"/>
      <c r="BC231" s="24"/>
      <c r="BD231" s="24"/>
      <c r="BE231" s="24"/>
      <c r="BF231" s="3"/>
      <c r="BG231" s="3"/>
      <c r="BH231" s="3"/>
      <c r="BI231" s="3"/>
      <c r="BJ231" s="3"/>
      <c r="BK231" s="3"/>
      <c r="BR231" s="3"/>
    </row>
    <row r="232" spans="2:70" customFormat="1" x14ac:dyDescent="0.3">
      <c r="B232" s="6"/>
      <c r="C232" s="6"/>
      <c r="D232" s="6"/>
      <c r="E232" s="3"/>
      <c r="F232" s="23"/>
      <c r="G232" s="3"/>
      <c r="H232" s="3"/>
      <c r="M232" s="11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7"/>
      <c r="AE232" s="7"/>
      <c r="AF232" s="7"/>
      <c r="AG232" s="7"/>
      <c r="AH232" s="3"/>
      <c r="AI232" s="3"/>
      <c r="AJ232" s="3"/>
      <c r="AK232" s="3"/>
      <c r="AL232" s="7"/>
      <c r="AM232" s="22"/>
      <c r="AN232" s="22"/>
      <c r="AO232" s="22"/>
      <c r="AP232" s="3"/>
      <c r="AQ232" s="3"/>
      <c r="AR232" s="3"/>
      <c r="AS232" s="3"/>
      <c r="AT232" s="7"/>
      <c r="AU232" s="24"/>
      <c r="AV232" s="24"/>
      <c r="AW232" s="24"/>
      <c r="AX232" s="3"/>
      <c r="AY232" s="3"/>
      <c r="AZ232" s="3"/>
      <c r="BA232" s="3"/>
      <c r="BB232" s="3"/>
      <c r="BC232" s="24"/>
      <c r="BD232" s="24"/>
      <c r="BE232" s="24"/>
      <c r="BF232" s="3"/>
      <c r="BG232" s="3"/>
      <c r="BH232" s="3"/>
      <c r="BI232" s="3"/>
      <c r="BJ232" s="3"/>
      <c r="BK232" s="3"/>
      <c r="BR232" s="3"/>
    </row>
    <row r="233" spans="2:70" customFormat="1" x14ac:dyDescent="0.3">
      <c r="B233" s="6"/>
      <c r="C233" s="6"/>
      <c r="D233" s="6"/>
      <c r="E233" s="3"/>
      <c r="F233" s="23"/>
      <c r="G233" s="3"/>
      <c r="H233" s="3"/>
      <c r="M233" s="11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7"/>
      <c r="AE233" s="7"/>
      <c r="AF233" s="7"/>
      <c r="AG233" s="7"/>
      <c r="AH233" s="3"/>
      <c r="AI233" s="3"/>
      <c r="AJ233" s="3"/>
      <c r="AK233" s="3"/>
      <c r="AL233" s="7"/>
      <c r="AM233" s="22"/>
      <c r="AN233" s="22"/>
      <c r="AO233" s="22"/>
      <c r="AP233" s="3"/>
      <c r="AQ233" s="3"/>
      <c r="AR233" s="3"/>
      <c r="AS233" s="3"/>
      <c r="AT233" s="7"/>
      <c r="AU233" s="24"/>
      <c r="AV233" s="24"/>
      <c r="AW233" s="24"/>
      <c r="AX233" s="3"/>
      <c r="AY233" s="3"/>
      <c r="AZ233" s="3"/>
      <c r="BA233" s="3"/>
      <c r="BB233" s="3"/>
      <c r="BC233" s="24"/>
      <c r="BD233" s="24"/>
      <c r="BE233" s="24"/>
      <c r="BF233" s="3"/>
      <c r="BG233" s="3"/>
      <c r="BH233" s="3"/>
      <c r="BI233" s="3"/>
      <c r="BJ233" s="3"/>
      <c r="BK233" s="3"/>
      <c r="BR233" s="3"/>
    </row>
    <row r="234" spans="2:70" customFormat="1" x14ac:dyDescent="0.3">
      <c r="B234" s="6"/>
      <c r="C234" s="6"/>
      <c r="D234" s="6"/>
      <c r="E234" s="3"/>
      <c r="F234" s="23"/>
      <c r="G234" s="3"/>
      <c r="H234" s="3"/>
      <c r="M234" s="11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7"/>
      <c r="AE234" s="7"/>
      <c r="AF234" s="7"/>
      <c r="AG234" s="7"/>
      <c r="AH234" s="3"/>
      <c r="AI234" s="3"/>
      <c r="AJ234" s="3"/>
      <c r="AK234" s="3"/>
      <c r="AL234" s="7"/>
      <c r="AM234" s="22"/>
      <c r="AN234" s="22"/>
      <c r="AO234" s="22"/>
      <c r="AP234" s="3"/>
      <c r="AQ234" s="3"/>
      <c r="AR234" s="3"/>
      <c r="AS234" s="3"/>
      <c r="AT234" s="7"/>
      <c r="AU234" s="24"/>
      <c r="AV234" s="24"/>
      <c r="AW234" s="24"/>
      <c r="AX234" s="3"/>
      <c r="AY234" s="3"/>
      <c r="AZ234" s="3"/>
      <c r="BA234" s="3"/>
      <c r="BB234" s="3"/>
      <c r="BC234" s="24"/>
      <c r="BD234" s="24"/>
      <c r="BE234" s="24"/>
      <c r="BF234" s="3"/>
      <c r="BG234" s="3"/>
      <c r="BH234" s="3"/>
      <c r="BI234" s="3"/>
      <c r="BJ234" s="3"/>
      <c r="BK234" s="3"/>
      <c r="BR234" s="3"/>
    </row>
    <row r="235" spans="2:70" customFormat="1" x14ac:dyDescent="0.3">
      <c r="B235" s="6"/>
      <c r="C235" s="6"/>
      <c r="D235" s="6"/>
      <c r="E235" s="3"/>
      <c r="F235" s="23"/>
      <c r="G235" s="3"/>
      <c r="H235" s="3"/>
      <c r="M235" s="11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7"/>
      <c r="AE235" s="7"/>
      <c r="AF235" s="7"/>
      <c r="AG235" s="7"/>
      <c r="AH235" s="3"/>
      <c r="AI235" s="3"/>
      <c r="AJ235" s="3"/>
      <c r="AK235" s="3"/>
      <c r="AL235" s="7"/>
      <c r="AM235" s="22"/>
      <c r="AN235" s="22"/>
      <c r="AO235" s="22"/>
      <c r="AP235" s="3"/>
      <c r="AQ235" s="3"/>
      <c r="AR235" s="3"/>
      <c r="AS235" s="3"/>
      <c r="AT235" s="7"/>
      <c r="AU235" s="24"/>
      <c r="AV235" s="24"/>
      <c r="AW235" s="24"/>
      <c r="AX235" s="3"/>
      <c r="AY235" s="3"/>
      <c r="AZ235" s="3"/>
      <c r="BA235" s="3"/>
      <c r="BB235" s="3"/>
      <c r="BC235" s="24"/>
      <c r="BD235" s="24"/>
      <c r="BE235" s="24"/>
      <c r="BF235" s="3"/>
      <c r="BG235" s="3"/>
      <c r="BH235" s="3"/>
      <c r="BI235" s="3"/>
      <c r="BJ235" s="3"/>
      <c r="BK235" s="3"/>
      <c r="BR235" s="3"/>
    </row>
    <row r="236" spans="2:70" customFormat="1" x14ac:dyDescent="0.3">
      <c r="B236" s="6"/>
      <c r="C236" s="6"/>
      <c r="D236" s="6"/>
      <c r="E236" s="3"/>
      <c r="F236" s="23"/>
      <c r="G236" s="3"/>
      <c r="H236" s="3"/>
      <c r="M236" s="11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7"/>
      <c r="AE236" s="7"/>
      <c r="AF236" s="7"/>
      <c r="AG236" s="7"/>
      <c r="AH236" s="3"/>
      <c r="AI236" s="3"/>
      <c r="AJ236" s="3"/>
      <c r="AK236" s="3"/>
      <c r="AL236" s="7"/>
      <c r="AM236" s="22"/>
      <c r="AN236" s="22"/>
      <c r="AO236" s="22"/>
      <c r="AP236" s="3"/>
      <c r="AQ236" s="3"/>
      <c r="AR236" s="3"/>
      <c r="AS236" s="3"/>
      <c r="AT236" s="7"/>
      <c r="AU236" s="24"/>
      <c r="AV236" s="24"/>
      <c r="AW236" s="24"/>
      <c r="AX236" s="3"/>
      <c r="AY236" s="3"/>
      <c r="AZ236" s="3"/>
      <c r="BA236" s="3"/>
      <c r="BB236" s="3"/>
      <c r="BC236" s="24"/>
      <c r="BD236" s="24"/>
      <c r="BE236" s="24"/>
      <c r="BF236" s="3"/>
      <c r="BG236" s="3"/>
      <c r="BH236" s="3"/>
      <c r="BI236" s="3"/>
      <c r="BJ236" s="3"/>
      <c r="BK236" s="3"/>
      <c r="BR236" s="3"/>
    </row>
    <row r="237" spans="2:70" customFormat="1" x14ac:dyDescent="0.3">
      <c r="B237" s="6"/>
      <c r="C237" s="6"/>
      <c r="D237" s="6"/>
      <c r="E237" s="3"/>
      <c r="F237" s="23"/>
      <c r="G237" s="3"/>
      <c r="H237" s="3"/>
      <c r="M237" s="11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7"/>
      <c r="AE237" s="7"/>
      <c r="AF237" s="7"/>
      <c r="AG237" s="7"/>
      <c r="AH237" s="3"/>
      <c r="AI237" s="3"/>
      <c r="AJ237" s="3"/>
      <c r="AK237" s="3"/>
      <c r="AL237" s="7"/>
      <c r="AM237" s="22"/>
      <c r="AN237" s="22"/>
      <c r="AO237" s="22"/>
      <c r="AP237" s="3"/>
      <c r="AQ237" s="3"/>
      <c r="AR237" s="3"/>
      <c r="AS237" s="3"/>
      <c r="AT237" s="7"/>
      <c r="AU237" s="24"/>
      <c r="AV237" s="24"/>
      <c r="AW237" s="24"/>
      <c r="AX237" s="3"/>
      <c r="AY237" s="3"/>
      <c r="AZ237" s="3"/>
      <c r="BA237" s="3"/>
      <c r="BB237" s="3"/>
      <c r="BC237" s="24"/>
      <c r="BD237" s="24"/>
      <c r="BE237" s="24"/>
      <c r="BF237" s="3"/>
      <c r="BG237" s="3"/>
      <c r="BH237" s="3"/>
      <c r="BI237" s="3"/>
      <c r="BJ237" s="3"/>
      <c r="BK237" s="3"/>
      <c r="BR237" s="3"/>
    </row>
    <row r="238" spans="2:70" customFormat="1" x14ac:dyDescent="0.3">
      <c r="B238" s="6"/>
      <c r="C238" s="6"/>
      <c r="D238" s="6"/>
      <c r="E238" s="3"/>
      <c r="F238" s="23"/>
      <c r="G238" s="3"/>
      <c r="H238" s="3"/>
      <c r="M238" s="11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7"/>
      <c r="AE238" s="7"/>
      <c r="AF238" s="7"/>
      <c r="AG238" s="7"/>
      <c r="AH238" s="3"/>
      <c r="AI238" s="3"/>
      <c r="AJ238" s="3"/>
      <c r="AK238" s="3"/>
      <c r="AL238" s="7"/>
      <c r="AM238" s="22"/>
      <c r="AN238" s="22"/>
      <c r="AO238" s="22"/>
      <c r="AP238" s="3"/>
      <c r="AQ238" s="3"/>
      <c r="AR238" s="3"/>
      <c r="AS238" s="3"/>
      <c r="AT238" s="7"/>
      <c r="AU238" s="24"/>
      <c r="AV238" s="24"/>
      <c r="AW238" s="24"/>
      <c r="AX238" s="3"/>
      <c r="AY238" s="3"/>
      <c r="AZ238" s="3"/>
      <c r="BA238" s="3"/>
      <c r="BB238" s="3"/>
      <c r="BC238" s="24"/>
      <c r="BD238" s="24"/>
      <c r="BE238" s="24"/>
      <c r="BF238" s="3"/>
      <c r="BG238" s="3"/>
      <c r="BH238" s="3"/>
      <c r="BI238" s="3"/>
      <c r="BJ238" s="3"/>
      <c r="BK238" s="3"/>
      <c r="BR238" s="3"/>
    </row>
    <row r="239" spans="2:70" customFormat="1" x14ac:dyDescent="0.3">
      <c r="B239" s="6"/>
      <c r="C239" s="6"/>
      <c r="D239" s="6"/>
      <c r="E239" s="3"/>
      <c r="F239" s="23"/>
      <c r="G239" s="3"/>
      <c r="H239" s="3"/>
      <c r="M239" s="11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7"/>
      <c r="AE239" s="7"/>
      <c r="AF239" s="7"/>
      <c r="AG239" s="7"/>
      <c r="AH239" s="3"/>
      <c r="AI239" s="3"/>
      <c r="AJ239" s="3"/>
      <c r="AK239" s="3"/>
      <c r="AL239" s="7"/>
      <c r="AM239" s="22"/>
      <c r="AN239" s="22"/>
      <c r="AO239" s="22"/>
      <c r="AP239" s="3"/>
      <c r="AQ239" s="3"/>
      <c r="AR239" s="3"/>
      <c r="AS239" s="3"/>
      <c r="AT239" s="7"/>
      <c r="AU239" s="24"/>
      <c r="AV239" s="24"/>
      <c r="AW239" s="24"/>
      <c r="AX239" s="3"/>
      <c r="AY239" s="3"/>
      <c r="AZ239" s="3"/>
      <c r="BA239" s="3"/>
      <c r="BB239" s="3"/>
      <c r="BC239" s="24"/>
      <c r="BD239" s="24"/>
      <c r="BE239" s="24"/>
      <c r="BF239" s="3"/>
      <c r="BG239" s="3"/>
      <c r="BH239" s="3"/>
      <c r="BI239" s="3"/>
      <c r="BJ239" s="3"/>
      <c r="BK239" s="3"/>
      <c r="BR239" s="3"/>
    </row>
    <row r="240" spans="2:70" customFormat="1" x14ac:dyDescent="0.3">
      <c r="B240" s="6"/>
      <c r="C240" s="6"/>
      <c r="D240" s="6"/>
      <c r="E240" s="3"/>
      <c r="F240" s="23"/>
      <c r="G240" s="3"/>
      <c r="H240" s="3"/>
      <c r="M240" s="11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7"/>
      <c r="AE240" s="7"/>
      <c r="AF240" s="7"/>
      <c r="AG240" s="7"/>
      <c r="AH240" s="3"/>
      <c r="AI240" s="3"/>
      <c r="AJ240" s="3"/>
      <c r="AK240" s="3"/>
      <c r="AL240" s="7"/>
      <c r="AM240" s="22"/>
      <c r="AN240" s="22"/>
      <c r="AO240" s="22"/>
      <c r="AP240" s="3"/>
      <c r="AQ240" s="3"/>
      <c r="AR240" s="3"/>
      <c r="AS240" s="3"/>
      <c r="AT240" s="7"/>
      <c r="AU240" s="24"/>
      <c r="AV240" s="24"/>
      <c r="AW240" s="24"/>
      <c r="AX240" s="3"/>
      <c r="AY240" s="3"/>
      <c r="AZ240" s="3"/>
      <c r="BA240" s="3"/>
      <c r="BB240" s="3"/>
      <c r="BC240" s="24"/>
      <c r="BD240" s="24"/>
      <c r="BE240" s="24"/>
      <c r="BF240" s="3"/>
      <c r="BG240" s="3"/>
      <c r="BH240" s="3"/>
      <c r="BI240" s="3"/>
      <c r="BJ240" s="3"/>
      <c r="BK240" s="3"/>
      <c r="BR240" s="3"/>
    </row>
    <row r="241" spans="2:70" customFormat="1" x14ac:dyDescent="0.3">
      <c r="B241" s="6"/>
      <c r="C241" s="6"/>
      <c r="D241" s="6"/>
      <c r="E241" s="3"/>
      <c r="F241" s="23"/>
      <c r="G241" s="3"/>
      <c r="H241" s="3"/>
      <c r="M241" s="11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7"/>
      <c r="AE241" s="7"/>
      <c r="AF241" s="7"/>
      <c r="AG241" s="7"/>
      <c r="AH241" s="3"/>
      <c r="AI241" s="3"/>
      <c r="AJ241" s="3"/>
      <c r="AK241" s="3"/>
      <c r="AL241" s="7"/>
      <c r="AM241" s="22"/>
      <c r="AN241" s="22"/>
      <c r="AO241" s="22"/>
      <c r="AP241" s="3"/>
      <c r="AQ241" s="3"/>
      <c r="AR241" s="3"/>
      <c r="AS241" s="3"/>
      <c r="AT241" s="7"/>
      <c r="AU241" s="24"/>
      <c r="AV241" s="24"/>
      <c r="AW241" s="24"/>
      <c r="AX241" s="3"/>
      <c r="AY241" s="3"/>
      <c r="AZ241" s="3"/>
      <c r="BA241" s="3"/>
      <c r="BB241" s="3"/>
      <c r="BC241" s="24"/>
      <c r="BD241" s="24"/>
      <c r="BE241" s="24"/>
      <c r="BF241" s="3"/>
      <c r="BG241" s="3"/>
      <c r="BH241" s="3"/>
      <c r="BI241" s="3"/>
      <c r="BJ241" s="3"/>
      <c r="BK241" s="3"/>
      <c r="BR241" s="3"/>
    </row>
    <row r="242" spans="2:70" customFormat="1" x14ac:dyDescent="0.3">
      <c r="B242" s="6"/>
      <c r="C242" s="6"/>
      <c r="D242" s="6"/>
      <c r="E242" s="3"/>
      <c r="F242" s="23"/>
      <c r="G242" s="3"/>
      <c r="H242" s="3"/>
      <c r="M242" s="11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7"/>
      <c r="AE242" s="7"/>
      <c r="AF242" s="7"/>
      <c r="AG242" s="7"/>
      <c r="AH242" s="3"/>
      <c r="AI242" s="3"/>
      <c r="AJ242" s="3"/>
      <c r="AK242" s="3"/>
      <c r="AL242" s="7"/>
      <c r="AM242" s="22"/>
      <c r="AN242" s="22"/>
      <c r="AO242" s="22"/>
      <c r="AP242" s="3"/>
      <c r="AQ242" s="3"/>
      <c r="AR242" s="3"/>
      <c r="AS242" s="3"/>
      <c r="AT242" s="7"/>
      <c r="AU242" s="24"/>
      <c r="AV242" s="24"/>
      <c r="AW242" s="24"/>
      <c r="AX242" s="3"/>
      <c r="AY242" s="3"/>
      <c r="AZ242" s="3"/>
      <c r="BA242" s="3"/>
      <c r="BB242" s="3"/>
      <c r="BC242" s="24"/>
      <c r="BD242" s="24"/>
      <c r="BE242" s="24"/>
      <c r="BF242" s="3"/>
      <c r="BG242" s="3"/>
      <c r="BH242" s="3"/>
      <c r="BI242" s="3"/>
      <c r="BJ242" s="3"/>
      <c r="BK242" s="3"/>
      <c r="BR242" s="3"/>
    </row>
    <row r="243" spans="2:70" customFormat="1" x14ac:dyDescent="0.3">
      <c r="B243" s="6"/>
      <c r="C243" s="6"/>
      <c r="D243" s="6"/>
      <c r="E243" s="3"/>
      <c r="F243" s="23"/>
      <c r="G243" s="3"/>
      <c r="H243" s="3"/>
      <c r="M243" s="11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7"/>
      <c r="AE243" s="7"/>
      <c r="AF243" s="7"/>
      <c r="AG243" s="7"/>
      <c r="AH243" s="3"/>
      <c r="AI243" s="3"/>
      <c r="AJ243" s="3"/>
      <c r="AK243" s="3"/>
      <c r="AL243" s="7"/>
      <c r="AM243" s="22"/>
      <c r="AN243" s="22"/>
      <c r="AO243" s="22"/>
      <c r="AP243" s="3"/>
      <c r="AQ243" s="3"/>
      <c r="AR243" s="3"/>
      <c r="AS243" s="3"/>
      <c r="AT243" s="7"/>
      <c r="AU243" s="24"/>
      <c r="AV243" s="24"/>
      <c r="AW243" s="24"/>
      <c r="AX243" s="3"/>
      <c r="AY243" s="3"/>
      <c r="AZ243" s="3"/>
      <c r="BA243" s="3"/>
      <c r="BB243" s="3"/>
      <c r="BC243" s="24"/>
      <c r="BD243" s="24"/>
      <c r="BE243" s="24"/>
      <c r="BF243" s="3"/>
      <c r="BG243" s="3"/>
      <c r="BH243" s="3"/>
      <c r="BI243" s="3"/>
      <c r="BJ243" s="3"/>
      <c r="BK243" s="3"/>
      <c r="BR243" s="3"/>
    </row>
    <row r="244" spans="2:70" customFormat="1" x14ac:dyDescent="0.3">
      <c r="B244" s="6"/>
      <c r="C244" s="6"/>
      <c r="D244" s="6"/>
      <c r="E244" s="3"/>
      <c r="F244" s="23"/>
      <c r="G244" s="3"/>
      <c r="H244" s="3"/>
      <c r="M244" s="11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7"/>
      <c r="AE244" s="7"/>
      <c r="AF244" s="7"/>
      <c r="AG244" s="7"/>
      <c r="AH244" s="3"/>
      <c r="AI244" s="3"/>
      <c r="AJ244" s="3"/>
      <c r="AK244" s="3"/>
      <c r="AL244" s="7"/>
      <c r="AM244" s="22"/>
      <c r="AN244" s="22"/>
      <c r="AO244" s="22"/>
      <c r="AP244" s="3"/>
      <c r="AQ244" s="3"/>
      <c r="AR244" s="3"/>
      <c r="AS244" s="3"/>
      <c r="AT244" s="7"/>
      <c r="AU244" s="24"/>
      <c r="AV244" s="24"/>
      <c r="AW244" s="24"/>
      <c r="AX244" s="3"/>
      <c r="AY244" s="3"/>
      <c r="AZ244" s="3"/>
      <c r="BA244" s="3"/>
      <c r="BB244" s="3"/>
      <c r="BC244" s="24"/>
      <c r="BD244" s="24"/>
      <c r="BE244" s="24"/>
      <c r="BF244" s="3"/>
      <c r="BG244" s="3"/>
      <c r="BH244" s="3"/>
      <c r="BI244" s="3"/>
      <c r="BJ244" s="3"/>
      <c r="BK244" s="3"/>
      <c r="BR244" s="3"/>
    </row>
    <row r="245" spans="2:70" customFormat="1" x14ac:dyDescent="0.3">
      <c r="B245" s="6"/>
      <c r="C245" s="6"/>
      <c r="D245" s="6"/>
      <c r="E245" s="3"/>
      <c r="F245" s="23"/>
      <c r="G245" s="3"/>
      <c r="H245" s="3"/>
      <c r="M245" s="11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7"/>
      <c r="AE245" s="7"/>
      <c r="AF245" s="7"/>
      <c r="AG245" s="7"/>
      <c r="AH245" s="3"/>
      <c r="AI245" s="3"/>
      <c r="AJ245" s="3"/>
      <c r="AK245" s="3"/>
      <c r="AL245" s="7"/>
      <c r="AM245" s="22"/>
      <c r="AN245" s="22"/>
      <c r="AO245" s="22"/>
      <c r="AP245" s="3"/>
      <c r="AQ245" s="3"/>
      <c r="AR245" s="3"/>
      <c r="AS245" s="3"/>
      <c r="AT245" s="7"/>
      <c r="AU245" s="24"/>
      <c r="AV245" s="24"/>
      <c r="AW245" s="24"/>
      <c r="AX245" s="3"/>
      <c r="AY245" s="3"/>
      <c r="AZ245" s="3"/>
      <c r="BA245" s="3"/>
      <c r="BB245" s="3"/>
      <c r="BC245" s="24"/>
      <c r="BD245" s="24"/>
      <c r="BE245" s="24"/>
      <c r="BF245" s="3"/>
      <c r="BG245" s="3"/>
      <c r="BH245" s="3"/>
      <c r="BI245" s="3"/>
      <c r="BJ245" s="3"/>
      <c r="BK245" s="3"/>
      <c r="BR245" s="3"/>
    </row>
    <row r="246" spans="2:70" customFormat="1" x14ac:dyDescent="0.3">
      <c r="B246" s="6"/>
      <c r="C246" s="6"/>
      <c r="D246" s="6"/>
      <c r="E246" s="3"/>
      <c r="F246" s="23"/>
      <c r="G246" s="3"/>
      <c r="H246" s="3"/>
      <c r="M246" s="11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7"/>
      <c r="AE246" s="7"/>
      <c r="AF246" s="7"/>
      <c r="AG246" s="7"/>
      <c r="AH246" s="3"/>
      <c r="AI246" s="3"/>
      <c r="AJ246" s="3"/>
      <c r="AK246" s="3"/>
      <c r="AL246" s="7"/>
      <c r="AM246" s="22"/>
      <c r="AN246" s="22"/>
      <c r="AO246" s="22"/>
      <c r="AP246" s="3"/>
      <c r="AQ246" s="3"/>
      <c r="AR246" s="3"/>
      <c r="AS246" s="3"/>
      <c r="AT246" s="7"/>
      <c r="AU246" s="24"/>
      <c r="AV246" s="24"/>
      <c r="AW246" s="24"/>
      <c r="AX246" s="3"/>
      <c r="AY246" s="3"/>
      <c r="AZ246" s="3"/>
      <c r="BA246" s="3"/>
      <c r="BB246" s="3"/>
      <c r="BC246" s="24"/>
      <c r="BD246" s="24"/>
      <c r="BE246" s="24"/>
      <c r="BF246" s="3"/>
      <c r="BG246" s="3"/>
      <c r="BH246" s="3"/>
      <c r="BI246" s="3"/>
      <c r="BJ246" s="3"/>
      <c r="BK246" s="3"/>
      <c r="BR246" s="3"/>
    </row>
    <row r="247" spans="2:70" customFormat="1" x14ac:dyDescent="0.3">
      <c r="B247" s="6"/>
      <c r="C247" s="6"/>
      <c r="D247" s="6"/>
      <c r="E247" s="3"/>
      <c r="F247" s="23"/>
      <c r="G247" s="3"/>
      <c r="H247" s="3"/>
      <c r="M247" s="11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7"/>
      <c r="AE247" s="7"/>
      <c r="AF247" s="7"/>
      <c r="AG247" s="7"/>
      <c r="AH247" s="3"/>
      <c r="AI247" s="3"/>
      <c r="AJ247" s="3"/>
      <c r="AK247" s="3"/>
      <c r="AL247" s="7"/>
      <c r="AM247" s="22"/>
      <c r="AN247" s="22"/>
      <c r="AO247" s="22"/>
      <c r="AP247" s="3"/>
      <c r="AQ247" s="3"/>
      <c r="AR247" s="3"/>
      <c r="AS247" s="3"/>
      <c r="AT247" s="7"/>
      <c r="AU247" s="24"/>
      <c r="AV247" s="24"/>
      <c r="AW247" s="24"/>
      <c r="AX247" s="3"/>
      <c r="AY247" s="3"/>
      <c r="AZ247" s="3"/>
      <c r="BA247" s="3"/>
      <c r="BB247" s="3"/>
      <c r="BC247" s="24"/>
      <c r="BD247" s="24"/>
      <c r="BE247" s="24"/>
      <c r="BF247" s="3"/>
      <c r="BG247" s="3"/>
      <c r="BH247" s="3"/>
      <c r="BI247" s="3"/>
      <c r="BJ247" s="3"/>
      <c r="BK247" s="3"/>
      <c r="BR247" s="3"/>
    </row>
    <row r="248" spans="2:70" customFormat="1" x14ac:dyDescent="0.3">
      <c r="B248" s="6"/>
      <c r="C248" s="6"/>
      <c r="D248" s="6"/>
      <c r="E248" s="3"/>
      <c r="F248" s="23"/>
      <c r="G248" s="3"/>
      <c r="H248" s="3"/>
      <c r="M248" s="11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7"/>
      <c r="AE248" s="7"/>
      <c r="AF248" s="7"/>
      <c r="AG248" s="7"/>
      <c r="AH248" s="3"/>
      <c r="AI248" s="3"/>
      <c r="AJ248" s="3"/>
      <c r="AK248" s="3"/>
      <c r="AL248" s="7"/>
      <c r="AM248" s="22"/>
      <c r="AN248" s="22"/>
      <c r="AO248" s="22"/>
      <c r="AP248" s="3"/>
      <c r="AQ248" s="3"/>
      <c r="AR248" s="3"/>
      <c r="AS248" s="3"/>
      <c r="AT248" s="7"/>
      <c r="AU248" s="24"/>
      <c r="AV248" s="24"/>
      <c r="AW248" s="24"/>
      <c r="AX248" s="3"/>
      <c r="AY248" s="3"/>
      <c r="AZ248" s="3"/>
      <c r="BA248" s="3"/>
      <c r="BB248" s="3"/>
      <c r="BC248" s="24"/>
      <c r="BD248" s="24"/>
      <c r="BE248" s="24"/>
      <c r="BF248" s="3"/>
      <c r="BG248" s="3"/>
      <c r="BH248" s="3"/>
      <c r="BI248" s="3"/>
      <c r="BJ248" s="3"/>
      <c r="BK248" s="3"/>
      <c r="BR248" s="3"/>
    </row>
    <row r="249" spans="2:70" customFormat="1" x14ac:dyDescent="0.3">
      <c r="B249" s="6"/>
      <c r="C249" s="6"/>
      <c r="D249" s="6"/>
      <c r="E249" s="3"/>
      <c r="F249" s="23"/>
      <c r="G249" s="3"/>
      <c r="H249" s="3"/>
      <c r="M249" s="11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7"/>
      <c r="AE249" s="7"/>
      <c r="AF249" s="7"/>
      <c r="AG249" s="7"/>
      <c r="AH249" s="3"/>
      <c r="AI249" s="3"/>
      <c r="AJ249" s="3"/>
      <c r="AK249" s="3"/>
      <c r="AL249" s="7"/>
      <c r="AM249" s="22"/>
      <c r="AN249" s="22"/>
      <c r="AO249" s="22"/>
      <c r="AP249" s="3"/>
      <c r="AQ249" s="3"/>
      <c r="AR249" s="3"/>
      <c r="AS249" s="3"/>
      <c r="AT249" s="7"/>
      <c r="AU249" s="24"/>
      <c r="AV249" s="24"/>
      <c r="AW249" s="24"/>
      <c r="AX249" s="3"/>
      <c r="AY249" s="3"/>
      <c r="AZ249" s="3"/>
      <c r="BA249" s="3"/>
      <c r="BB249" s="3"/>
      <c r="BC249" s="24"/>
      <c r="BD249" s="24"/>
      <c r="BE249" s="24"/>
      <c r="BF249" s="3"/>
      <c r="BG249" s="3"/>
      <c r="BH249" s="3"/>
      <c r="BI249" s="3"/>
      <c r="BJ249" s="3"/>
      <c r="BK249" s="3"/>
      <c r="BR249" s="3"/>
    </row>
    <row r="250" spans="2:70" customFormat="1" x14ac:dyDescent="0.3">
      <c r="B250" s="6"/>
      <c r="C250" s="6"/>
      <c r="D250" s="6"/>
      <c r="E250" s="3"/>
      <c r="F250" s="23"/>
      <c r="G250" s="3"/>
      <c r="H250" s="3"/>
      <c r="M250" s="11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7"/>
      <c r="AE250" s="7"/>
      <c r="AF250" s="7"/>
      <c r="AG250" s="7"/>
      <c r="AH250" s="3"/>
      <c r="AI250" s="3"/>
      <c r="AJ250" s="3"/>
      <c r="AK250" s="3"/>
      <c r="AL250" s="7"/>
      <c r="AM250" s="22"/>
      <c r="AN250" s="22"/>
      <c r="AO250" s="22"/>
      <c r="AP250" s="3"/>
      <c r="AQ250" s="3"/>
      <c r="AR250" s="3"/>
      <c r="AS250" s="3"/>
      <c r="AT250" s="7"/>
      <c r="AU250" s="24"/>
      <c r="AV250" s="24"/>
      <c r="AW250" s="24"/>
      <c r="AX250" s="3"/>
      <c r="AY250" s="3"/>
      <c r="AZ250" s="3"/>
      <c r="BA250" s="3"/>
      <c r="BB250" s="3"/>
      <c r="BC250" s="24"/>
      <c r="BD250" s="24"/>
      <c r="BE250" s="24"/>
      <c r="BF250" s="3"/>
      <c r="BG250" s="3"/>
      <c r="BH250" s="3"/>
      <c r="BI250" s="3"/>
      <c r="BJ250" s="3"/>
      <c r="BK250" s="3"/>
      <c r="BR250" s="3"/>
    </row>
    <row r="251" spans="2:70" customFormat="1" x14ac:dyDescent="0.3">
      <c r="B251" s="6"/>
      <c r="C251" s="6"/>
      <c r="D251" s="6"/>
      <c r="E251" s="3"/>
      <c r="F251" s="23"/>
      <c r="G251" s="3"/>
      <c r="H251" s="3"/>
      <c r="M251" s="11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7"/>
      <c r="AE251" s="7"/>
      <c r="AF251" s="7"/>
      <c r="AG251" s="7"/>
      <c r="AH251" s="3"/>
      <c r="AI251" s="3"/>
      <c r="AJ251" s="3"/>
      <c r="AK251" s="3"/>
      <c r="AL251" s="7"/>
      <c r="AM251" s="22"/>
      <c r="AN251" s="22"/>
      <c r="AO251" s="22"/>
      <c r="AP251" s="3"/>
      <c r="AQ251" s="3"/>
      <c r="AR251" s="3"/>
      <c r="AS251" s="3"/>
      <c r="AT251" s="7"/>
      <c r="AU251" s="24"/>
      <c r="AV251" s="24"/>
      <c r="AW251" s="24"/>
      <c r="AX251" s="3"/>
      <c r="AY251" s="3"/>
      <c r="AZ251" s="3"/>
      <c r="BA251" s="3"/>
      <c r="BB251" s="3"/>
      <c r="BC251" s="24"/>
      <c r="BD251" s="24"/>
      <c r="BE251" s="24"/>
      <c r="BF251" s="3"/>
      <c r="BG251" s="3"/>
      <c r="BH251" s="3"/>
      <c r="BI251" s="3"/>
      <c r="BJ251" s="3"/>
      <c r="BK251" s="3"/>
      <c r="BR251" s="3"/>
    </row>
    <row r="252" spans="2:70" customFormat="1" x14ac:dyDescent="0.3">
      <c r="B252" s="6"/>
      <c r="C252" s="6"/>
      <c r="D252" s="6"/>
      <c r="E252" s="3"/>
      <c r="F252" s="23"/>
      <c r="G252" s="3"/>
      <c r="H252" s="3"/>
      <c r="M252" s="11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7"/>
      <c r="AE252" s="7"/>
      <c r="AF252" s="7"/>
      <c r="AG252" s="7"/>
      <c r="AH252" s="3"/>
      <c r="AI252" s="3"/>
      <c r="AJ252" s="3"/>
      <c r="AK252" s="3"/>
      <c r="AL252" s="7"/>
      <c r="AM252" s="22"/>
      <c r="AN252" s="22"/>
      <c r="AO252" s="22"/>
      <c r="AP252" s="3"/>
      <c r="AQ252" s="3"/>
      <c r="AR252" s="3"/>
      <c r="AS252" s="3"/>
      <c r="AT252" s="7"/>
      <c r="AU252" s="24"/>
      <c r="AV252" s="24"/>
      <c r="AW252" s="24"/>
      <c r="AX252" s="3"/>
      <c r="AY252" s="3"/>
      <c r="AZ252" s="3"/>
      <c r="BA252" s="3"/>
      <c r="BB252" s="3"/>
      <c r="BC252" s="24"/>
      <c r="BD252" s="24"/>
      <c r="BE252" s="24"/>
      <c r="BF252" s="3"/>
      <c r="BG252" s="3"/>
      <c r="BH252" s="3"/>
      <c r="BI252" s="3"/>
      <c r="BJ252" s="3"/>
      <c r="BK252" s="3"/>
      <c r="BR252" s="3"/>
    </row>
    <row r="253" spans="2:70" customFormat="1" x14ac:dyDescent="0.3">
      <c r="B253" s="6"/>
      <c r="C253" s="6"/>
      <c r="D253" s="6"/>
      <c r="E253" s="3"/>
      <c r="F253" s="23"/>
      <c r="G253" s="3"/>
      <c r="H253" s="3"/>
      <c r="M253" s="11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7"/>
      <c r="AE253" s="7"/>
      <c r="AF253" s="7"/>
      <c r="AG253" s="7"/>
      <c r="AH253" s="3"/>
      <c r="AI253" s="3"/>
      <c r="AJ253" s="3"/>
      <c r="AK253" s="3"/>
      <c r="AL253" s="7"/>
      <c r="AM253" s="22"/>
      <c r="AN253" s="22"/>
      <c r="AO253" s="22"/>
      <c r="AP253" s="3"/>
      <c r="AQ253" s="3"/>
      <c r="AR253" s="3"/>
      <c r="AS253" s="3"/>
      <c r="AT253" s="7"/>
      <c r="AU253" s="24"/>
      <c r="AV253" s="24"/>
      <c r="AW253" s="24"/>
      <c r="AX253" s="3"/>
      <c r="AY253" s="3"/>
      <c r="AZ253" s="3"/>
      <c r="BA253" s="3"/>
      <c r="BB253" s="3"/>
      <c r="BC253" s="24"/>
      <c r="BD253" s="24"/>
      <c r="BE253" s="24"/>
      <c r="BF253" s="3"/>
      <c r="BG253" s="3"/>
      <c r="BH253" s="3"/>
      <c r="BI253" s="3"/>
      <c r="BJ253" s="3"/>
      <c r="BK253" s="3"/>
      <c r="BR253" s="3"/>
    </row>
    <row r="254" spans="2:70" customFormat="1" x14ac:dyDescent="0.3">
      <c r="B254" s="6"/>
      <c r="C254" s="6"/>
      <c r="D254" s="6"/>
      <c r="E254" s="3"/>
      <c r="F254" s="23"/>
      <c r="G254" s="3"/>
      <c r="H254" s="3"/>
      <c r="M254" s="11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7"/>
      <c r="AE254" s="7"/>
      <c r="AF254" s="7"/>
      <c r="AG254" s="7"/>
      <c r="AH254" s="3"/>
      <c r="AI254" s="3"/>
      <c r="AJ254" s="3"/>
      <c r="AK254" s="3"/>
      <c r="AL254" s="7"/>
      <c r="AM254" s="22"/>
      <c r="AN254" s="22"/>
      <c r="AO254" s="22"/>
      <c r="AP254" s="3"/>
      <c r="AQ254" s="3"/>
      <c r="AR254" s="3"/>
      <c r="AS254" s="3"/>
      <c r="AT254" s="7"/>
      <c r="AU254" s="24"/>
      <c r="AV254" s="24"/>
      <c r="AW254" s="24"/>
      <c r="AX254" s="3"/>
      <c r="AY254" s="3"/>
      <c r="AZ254" s="3"/>
      <c r="BA254" s="3"/>
      <c r="BB254" s="3"/>
      <c r="BC254" s="24"/>
      <c r="BD254" s="24"/>
      <c r="BE254" s="24"/>
      <c r="BF254" s="3"/>
      <c r="BG254" s="3"/>
      <c r="BH254" s="3"/>
      <c r="BI254" s="3"/>
      <c r="BJ254" s="3"/>
      <c r="BK254" s="3"/>
      <c r="BR254" s="3"/>
    </row>
    <row r="255" spans="2:70" customFormat="1" x14ac:dyDescent="0.3">
      <c r="B255" s="6"/>
      <c r="C255" s="6"/>
      <c r="D255" s="6"/>
      <c r="E255" s="3"/>
      <c r="F255" s="23"/>
      <c r="G255" s="3"/>
      <c r="H255" s="3"/>
      <c r="M255" s="11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7"/>
      <c r="AE255" s="7"/>
      <c r="AF255" s="7"/>
      <c r="AG255" s="7"/>
      <c r="AH255" s="3"/>
      <c r="AI255" s="3"/>
      <c r="AJ255" s="3"/>
      <c r="AK255" s="3"/>
      <c r="AL255" s="7"/>
      <c r="AM255" s="22"/>
      <c r="AN255" s="22"/>
      <c r="AO255" s="22"/>
      <c r="AP255" s="3"/>
      <c r="AQ255" s="3"/>
      <c r="AR255" s="3"/>
      <c r="AS255" s="3"/>
      <c r="AT255" s="7"/>
      <c r="AU255" s="24"/>
      <c r="AV255" s="24"/>
      <c r="AW255" s="24"/>
      <c r="AX255" s="3"/>
      <c r="AY255" s="3"/>
      <c r="AZ255" s="3"/>
      <c r="BA255" s="3"/>
      <c r="BB255" s="3"/>
      <c r="BC255" s="24"/>
      <c r="BD255" s="24"/>
      <c r="BE255" s="24"/>
      <c r="BF255" s="3"/>
      <c r="BG255" s="3"/>
      <c r="BH255" s="3"/>
      <c r="BI255" s="3"/>
      <c r="BJ255" s="3"/>
      <c r="BK255" s="3"/>
      <c r="BR255" s="3"/>
    </row>
    <row r="256" spans="2:70" customFormat="1" x14ac:dyDescent="0.3">
      <c r="B256" s="6"/>
      <c r="C256" s="6"/>
      <c r="D256" s="6"/>
      <c r="E256" s="3"/>
      <c r="F256" s="23"/>
      <c r="G256" s="3"/>
      <c r="H256" s="3"/>
      <c r="M256" s="11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7"/>
      <c r="AE256" s="7"/>
      <c r="AF256" s="7"/>
      <c r="AG256" s="7"/>
      <c r="AH256" s="3"/>
      <c r="AI256" s="3"/>
      <c r="AJ256" s="3"/>
      <c r="AK256" s="3"/>
      <c r="AL256" s="7"/>
      <c r="AM256" s="22"/>
      <c r="AN256" s="22"/>
      <c r="AO256" s="22"/>
      <c r="AP256" s="3"/>
      <c r="AQ256" s="3"/>
      <c r="AR256" s="3"/>
      <c r="AS256" s="3"/>
      <c r="AT256" s="7"/>
      <c r="AU256" s="24"/>
      <c r="AV256" s="24"/>
      <c r="AW256" s="24"/>
      <c r="AX256" s="3"/>
      <c r="AY256" s="3"/>
      <c r="AZ256" s="3"/>
      <c r="BA256" s="3"/>
      <c r="BB256" s="3"/>
      <c r="BC256" s="24"/>
      <c r="BD256" s="24"/>
      <c r="BE256" s="24"/>
      <c r="BF256" s="3"/>
      <c r="BG256" s="3"/>
      <c r="BH256" s="3"/>
      <c r="BI256" s="3"/>
      <c r="BJ256" s="3"/>
      <c r="BK256" s="3"/>
      <c r="BR256" s="3"/>
    </row>
    <row r="257" spans="2:70" customFormat="1" x14ac:dyDescent="0.3">
      <c r="B257" s="6"/>
      <c r="C257" s="6"/>
      <c r="D257" s="6"/>
      <c r="E257" s="3"/>
      <c r="F257" s="23"/>
      <c r="G257" s="3"/>
      <c r="H257" s="3"/>
      <c r="M257" s="11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7"/>
      <c r="AE257" s="7"/>
      <c r="AF257" s="7"/>
      <c r="AG257" s="7"/>
      <c r="AH257" s="3"/>
      <c r="AI257" s="3"/>
      <c r="AJ257" s="3"/>
      <c r="AK257" s="3"/>
      <c r="AL257" s="7"/>
      <c r="AM257" s="22"/>
      <c r="AN257" s="22"/>
      <c r="AO257" s="22"/>
      <c r="AP257" s="3"/>
      <c r="AQ257" s="3"/>
      <c r="AR257" s="3"/>
      <c r="AS257" s="3"/>
      <c r="AT257" s="7"/>
      <c r="AU257" s="24"/>
      <c r="AV257" s="24"/>
      <c r="AW257" s="24"/>
      <c r="AX257" s="3"/>
      <c r="AY257" s="3"/>
      <c r="AZ257" s="3"/>
      <c r="BA257" s="3"/>
      <c r="BB257" s="3"/>
      <c r="BC257" s="24"/>
      <c r="BD257" s="24"/>
      <c r="BE257" s="24"/>
      <c r="BF257" s="3"/>
      <c r="BG257" s="3"/>
      <c r="BH257" s="3"/>
      <c r="BI257" s="3"/>
      <c r="BJ257" s="3"/>
      <c r="BK257" s="3"/>
      <c r="BR257" s="3"/>
    </row>
    <row r="258" spans="2:70" customFormat="1" x14ac:dyDescent="0.3">
      <c r="B258" s="6"/>
      <c r="C258" s="6"/>
      <c r="D258" s="6"/>
      <c r="E258" s="3"/>
      <c r="F258" s="23"/>
      <c r="G258" s="3"/>
      <c r="H258" s="3"/>
      <c r="M258" s="11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7"/>
      <c r="AE258" s="7"/>
      <c r="AF258" s="7"/>
      <c r="AG258" s="7"/>
      <c r="AH258" s="3"/>
      <c r="AI258" s="3"/>
      <c r="AJ258" s="3"/>
      <c r="AK258" s="3"/>
      <c r="AL258" s="7"/>
      <c r="AM258" s="22"/>
      <c r="AN258" s="22"/>
      <c r="AO258" s="22"/>
      <c r="AP258" s="3"/>
      <c r="AQ258" s="3"/>
      <c r="AR258" s="3"/>
      <c r="AS258" s="3"/>
      <c r="AT258" s="7"/>
      <c r="AU258" s="24"/>
      <c r="AV258" s="24"/>
      <c r="AW258" s="24"/>
      <c r="AX258" s="3"/>
      <c r="AY258" s="3"/>
      <c r="AZ258" s="3"/>
      <c r="BA258" s="3"/>
      <c r="BB258" s="3"/>
      <c r="BC258" s="24"/>
      <c r="BD258" s="24"/>
      <c r="BE258" s="24"/>
      <c r="BF258" s="3"/>
      <c r="BG258" s="3"/>
      <c r="BH258" s="3"/>
      <c r="BI258" s="3"/>
      <c r="BJ258" s="3"/>
      <c r="BK258" s="3"/>
      <c r="BR258" s="3"/>
    </row>
    <row r="259" spans="2:70" customFormat="1" x14ac:dyDescent="0.3">
      <c r="B259" s="6"/>
      <c r="C259" s="6"/>
      <c r="D259" s="6"/>
      <c r="E259" s="3"/>
      <c r="F259" s="23"/>
      <c r="G259" s="3"/>
      <c r="H259" s="3"/>
      <c r="M259" s="11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7"/>
      <c r="AE259" s="7"/>
      <c r="AF259" s="7"/>
      <c r="AG259" s="7"/>
      <c r="AH259" s="3"/>
      <c r="AI259" s="3"/>
      <c r="AJ259" s="3"/>
      <c r="AK259" s="3"/>
      <c r="AL259" s="7"/>
      <c r="AM259" s="22"/>
      <c r="AN259" s="22"/>
      <c r="AO259" s="22"/>
      <c r="AP259" s="3"/>
      <c r="AQ259" s="3"/>
      <c r="AR259" s="3"/>
      <c r="AS259" s="3"/>
      <c r="AT259" s="7"/>
      <c r="AU259" s="24"/>
      <c r="AV259" s="24"/>
      <c r="AW259" s="24"/>
      <c r="AX259" s="3"/>
      <c r="AY259" s="3"/>
      <c r="AZ259" s="3"/>
      <c r="BA259" s="3"/>
      <c r="BB259" s="3"/>
      <c r="BC259" s="24"/>
      <c r="BD259" s="24"/>
      <c r="BE259" s="24"/>
      <c r="BF259" s="3"/>
      <c r="BG259" s="3"/>
      <c r="BH259" s="3"/>
      <c r="BI259" s="3"/>
      <c r="BJ259" s="3"/>
      <c r="BK259" s="3"/>
      <c r="BR259" s="3"/>
    </row>
    <row r="260" spans="2:70" customFormat="1" x14ac:dyDescent="0.3">
      <c r="B260" s="6"/>
      <c r="C260" s="6"/>
      <c r="D260" s="6"/>
      <c r="E260" s="3"/>
      <c r="F260" s="23"/>
      <c r="G260" s="3"/>
      <c r="H260" s="3"/>
      <c r="M260" s="11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7"/>
      <c r="AE260" s="7"/>
      <c r="AF260" s="7"/>
      <c r="AG260" s="7"/>
      <c r="AH260" s="3"/>
      <c r="AI260" s="3"/>
      <c r="AJ260" s="3"/>
      <c r="AK260" s="3"/>
      <c r="AL260" s="7"/>
      <c r="AM260" s="22"/>
      <c r="AN260" s="22"/>
      <c r="AO260" s="22"/>
      <c r="AP260" s="3"/>
      <c r="AQ260" s="3"/>
      <c r="AR260" s="3"/>
      <c r="AS260" s="3"/>
      <c r="AT260" s="7"/>
      <c r="AU260" s="24"/>
      <c r="AV260" s="24"/>
      <c r="AW260" s="24"/>
      <c r="AX260" s="3"/>
      <c r="AY260" s="3"/>
      <c r="AZ260" s="3"/>
      <c r="BA260" s="3"/>
      <c r="BB260" s="3"/>
      <c r="BC260" s="24"/>
      <c r="BD260" s="24"/>
      <c r="BE260" s="24"/>
      <c r="BF260" s="3"/>
      <c r="BG260" s="3"/>
      <c r="BH260" s="3"/>
      <c r="BI260" s="3"/>
      <c r="BJ260" s="3"/>
      <c r="BK260" s="3"/>
      <c r="BR260" s="3"/>
    </row>
    <row r="261" spans="2:70" customFormat="1" x14ac:dyDescent="0.3">
      <c r="B261" s="6"/>
      <c r="C261" s="6"/>
      <c r="D261" s="6"/>
      <c r="E261" s="3"/>
      <c r="F261" s="23"/>
      <c r="G261" s="3"/>
      <c r="H261" s="3"/>
      <c r="M261" s="11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7"/>
      <c r="AE261" s="7"/>
      <c r="AF261" s="7"/>
      <c r="AG261" s="7"/>
      <c r="AH261" s="3"/>
      <c r="AI261" s="3"/>
      <c r="AJ261" s="3"/>
      <c r="AK261" s="3"/>
      <c r="AL261" s="7"/>
      <c r="AM261" s="22"/>
      <c r="AN261" s="22"/>
      <c r="AO261" s="22"/>
      <c r="AP261" s="3"/>
      <c r="AQ261" s="3"/>
      <c r="AR261" s="3"/>
      <c r="AS261" s="3"/>
      <c r="AT261" s="7"/>
      <c r="AU261" s="24"/>
      <c r="AV261" s="24"/>
      <c r="AW261" s="24"/>
      <c r="AX261" s="3"/>
      <c r="AY261" s="3"/>
      <c r="AZ261" s="3"/>
      <c r="BA261" s="3"/>
      <c r="BB261" s="3"/>
      <c r="BC261" s="24"/>
      <c r="BD261" s="24"/>
      <c r="BE261" s="24"/>
      <c r="BF261" s="3"/>
      <c r="BG261" s="3"/>
      <c r="BH261" s="3"/>
      <c r="BI261" s="3"/>
      <c r="BJ261" s="3"/>
      <c r="BK261" s="3"/>
      <c r="BR261" s="3"/>
    </row>
    <row r="262" spans="2:70" customFormat="1" x14ac:dyDescent="0.3">
      <c r="B262" s="6"/>
      <c r="C262" s="6"/>
      <c r="D262" s="6"/>
      <c r="E262" s="3"/>
      <c r="F262" s="23"/>
      <c r="G262" s="3"/>
      <c r="H262" s="3"/>
      <c r="M262" s="11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7"/>
      <c r="AE262" s="7"/>
      <c r="AF262" s="7"/>
      <c r="AG262" s="7"/>
      <c r="AH262" s="3"/>
      <c r="AI262" s="3"/>
      <c r="AJ262" s="3"/>
      <c r="AK262" s="3"/>
      <c r="AL262" s="7"/>
      <c r="AM262" s="22"/>
      <c r="AN262" s="22"/>
      <c r="AO262" s="22"/>
      <c r="AP262" s="3"/>
      <c r="AQ262" s="3"/>
      <c r="AR262" s="3"/>
      <c r="AS262" s="3"/>
      <c r="AT262" s="7"/>
      <c r="AU262" s="24"/>
      <c r="AV262" s="24"/>
      <c r="AW262" s="24"/>
      <c r="AX262" s="3"/>
      <c r="AY262" s="3"/>
      <c r="AZ262" s="3"/>
      <c r="BA262" s="3"/>
      <c r="BB262" s="3"/>
      <c r="BC262" s="24"/>
      <c r="BD262" s="24"/>
      <c r="BE262" s="24"/>
      <c r="BF262" s="3"/>
      <c r="BG262" s="3"/>
      <c r="BH262" s="3"/>
      <c r="BI262" s="3"/>
      <c r="BJ262" s="3"/>
      <c r="BK262" s="3"/>
      <c r="BR262" s="3"/>
    </row>
    <row r="263" spans="2:70" customFormat="1" x14ac:dyDescent="0.3">
      <c r="B263" s="6"/>
      <c r="C263" s="6"/>
      <c r="D263" s="6"/>
      <c r="E263" s="3"/>
      <c r="F263" s="23"/>
      <c r="G263" s="3"/>
      <c r="H263" s="3"/>
      <c r="M263" s="11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7"/>
      <c r="AE263" s="7"/>
      <c r="AF263" s="7"/>
      <c r="AG263" s="7"/>
      <c r="AH263" s="3"/>
      <c r="AI263" s="3"/>
      <c r="AJ263" s="3"/>
      <c r="AK263" s="3"/>
      <c r="AL263" s="7"/>
      <c r="AM263" s="22"/>
      <c r="AN263" s="22"/>
      <c r="AO263" s="22"/>
      <c r="AP263" s="3"/>
      <c r="AQ263" s="3"/>
      <c r="AR263" s="3"/>
      <c r="AS263" s="3"/>
      <c r="AT263" s="7"/>
      <c r="AU263" s="24"/>
      <c r="AV263" s="24"/>
      <c r="AW263" s="24"/>
      <c r="AX263" s="3"/>
      <c r="AY263" s="3"/>
      <c r="AZ263" s="3"/>
      <c r="BA263" s="3"/>
      <c r="BB263" s="3"/>
      <c r="BC263" s="24"/>
      <c r="BD263" s="24"/>
      <c r="BE263" s="24"/>
      <c r="BF263" s="3"/>
      <c r="BG263" s="3"/>
      <c r="BH263" s="3"/>
      <c r="BI263" s="3"/>
      <c r="BJ263" s="3"/>
      <c r="BK263" s="3"/>
      <c r="BR263" s="3"/>
    </row>
    <row r="264" spans="2:70" customFormat="1" x14ac:dyDescent="0.3">
      <c r="B264" s="6"/>
      <c r="C264" s="6"/>
      <c r="D264" s="6"/>
      <c r="E264" s="3"/>
      <c r="F264" s="23"/>
      <c r="G264" s="3"/>
      <c r="H264" s="3"/>
      <c r="M264" s="11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7"/>
      <c r="AE264" s="7"/>
      <c r="AF264" s="7"/>
      <c r="AG264" s="7"/>
      <c r="AH264" s="3"/>
      <c r="AI264" s="3"/>
      <c r="AJ264" s="3"/>
      <c r="AK264" s="3"/>
      <c r="AL264" s="7"/>
      <c r="AM264" s="22"/>
      <c r="AN264" s="22"/>
      <c r="AO264" s="22"/>
      <c r="AP264" s="3"/>
      <c r="AQ264" s="3"/>
      <c r="AR264" s="3"/>
      <c r="AS264" s="3"/>
      <c r="AT264" s="7"/>
      <c r="AU264" s="24"/>
      <c r="AV264" s="24"/>
      <c r="AW264" s="24"/>
      <c r="AX264" s="3"/>
      <c r="AY264" s="3"/>
      <c r="AZ264" s="3"/>
      <c r="BA264" s="3"/>
      <c r="BB264" s="3"/>
      <c r="BC264" s="24"/>
      <c r="BD264" s="24"/>
      <c r="BE264" s="24"/>
      <c r="BF264" s="3"/>
      <c r="BG264" s="3"/>
      <c r="BH264" s="3"/>
      <c r="BI264" s="3"/>
      <c r="BJ264" s="3"/>
      <c r="BK264" s="3"/>
      <c r="BR264" s="3"/>
    </row>
    <row r="265" spans="2:70" customFormat="1" x14ac:dyDescent="0.3">
      <c r="B265" s="6"/>
      <c r="C265" s="6"/>
      <c r="D265" s="6"/>
      <c r="E265" s="3"/>
      <c r="F265" s="23"/>
      <c r="G265" s="3"/>
      <c r="H265" s="3"/>
      <c r="M265" s="11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7"/>
      <c r="AE265" s="7"/>
      <c r="AF265" s="7"/>
      <c r="AG265" s="7"/>
      <c r="AH265" s="3"/>
      <c r="AI265" s="3"/>
      <c r="AJ265" s="3"/>
      <c r="AK265" s="3"/>
      <c r="AL265" s="7"/>
      <c r="AM265" s="22"/>
      <c r="AN265" s="22"/>
      <c r="AO265" s="22"/>
      <c r="AP265" s="3"/>
      <c r="AQ265" s="3"/>
      <c r="AR265" s="3"/>
      <c r="AS265" s="3"/>
      <c r="AT265" s="7"/>
      <c r="AU265" s="24"/>
      <c r="AV265" s="24"/>
      <c r="AW265" s="24"/>
      <c r="AX265" s="3"/>
      <c r="AY265" s="3"/>
      <c r="AZ265" s="3"/>
      <c r="BA265" s="3"/>
      <c r="BB265" s="3"/>
      <c r="BC265" s="24"/>
      <c r="BD265" s="24"/>
      <c r="BE265" s="24"/>
      <c r="BF265" s="3"/>
      <c r="BG265" s="3"/>
      <c r="BH265" s="3"/>
      <c r="BI265" s="3"/>
      <c r="BJ265" s="3"/>
      <c r="BK265" s="3"/>
      <c r="BR265" s="3"/>
    </row>
    <row r="266" spans="2:70" customFormat="1" x14ac:dyDescent="0.3">
      <c r="B266" s="6"/>
      <c r="C266" s="6"/>
      <c r="D266" s="6"/>
      <c r="E266" s="3"/>
      <c r="F266" s="23"/>
      <c r="G266" s="3"/>
      <c r="H266" s="3"/>
      <c r="M266" s="11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7"/>
      <c r="AE266" s="7"/>
      <c r="AF266" s="7"/>
      <c r="AG266" s="7"/>
      <c r="AH266" s="3"/>
      <c r="AI266" s="3"/>
      <c r="AJ266" s="3"/>
      <c r="AK266" s="3"/>
      <c r="AL266" s="7"/>
      <c r="AM266" s="22"/>
      <c r="AN266" s="22"/>
      <c r="AO266" s="22"/>
      <c r="AP266" s="3"/>
      <c r="AQ266" s="3"/>
      <c r="AR266" s="3"/>
      <c r="AS266" s="3"/>
      <c r="AT266" s="7"/>
      <c r="AU266" s="24"/>
      <c r="AV266" s="24"/>
      <c r="AW266" s="24"/>
      <c r="AX266" s="3"/>
      <c r="AY266" s="3"/>
      <c r="AZ266" s="3"/>
      <c r="BA266" s="3"/>
      <c r="BB266" s="3"/>
      <c r="BC266" s="24"/>
      <c r="BD266" s="24"/>
      <c r="BE266" s="24"/>
      <c r="BF266" s="3"/>
      <c r="BG266" s="3"/>
      <c r="BH266" s="3"/>
      <c r="BI266" s="3"/>
      <c r="BJ266" s="3"/>
      <c r="BK266" s="3"/>
      <c r="BR266" s="3"/>
    </row>
    <row r="267" spans="2:70" customFormat="1" x14ac:dyDescent="0.3">
      <c r="B267" s="6"/>
      <c r="C267" s="6"/>
      <c r="D267" s="6"/>
      <c r="E267" s="3"/>
      <c r="F267" s="23"/>
      <c r="G267" s="3"/>
      <c r="H267" s="3"/>
      <c r="M267" s="11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7"/>
      <c r="AE267" s="7"/>
      <c r="AF267" s="7"/>
      <c r="AG267" s="7"/>
      <c r="AH267" s="3"/>
      <c r="AI267" s="3"/>
      <c r="AJ267" s="3"/>
      <c r="AK267" s="3"/>
      <c r="AL267" s="7"/>
      <c r="AM267" s="22"/>
      <c r="AN267" s="22"/>
      <c r="AO267" s="22"/>
      <c r="AP267" s="3"/>
      <c r="AQ267" s="3"/>
      <c r="AR267" s="3"/>
      <c r="AS267" s="3"/>
      <c r="AT267" s="7"/>
      <c r="AU267" s="24"/>
      <c r="AV267" s="24"/>
      <c r="AW267" s="24"/>
      <c r="AX267" s="3"/>
      <c r="AY267" s="3"/>
      <c r="AZ267" s="3"/>
      <c r="BA267" s="3"/>
      <c r="BB267" s="3"/>
      <c r="BC267" s="24"/>
      <c r="BD267" s="24"/>
      <c r="BE267" s="24"/>
      <c r="BF267" s="3"/>
      <c r="BG267" s="3"/>
      <c r="BH267" s="3"/>
      <c r="BI267" s="3"/>
      <c r="BJ267" s="3"/>
      <c r="BK267" s="3"/>
      <c r="BR267" s="3"/>
    </row>
    <row r="268" spans="2:70" customFormat="1" x14ac:dyDescent="0.3">
      <c r="B268" s="6"/>
      <c r="C268" s="6"/>
      <c r="D268" s="6"/>
      <c r="E268" s="3"/>
      <c r="F268" s="23"/>
      <c r="G268" s="3"/>
      <c r="H268" s="3"/>
      <c r="M268" s="11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7"/>
      <c r="AE268" s="7"/>
      <c r="AF268" s="7"/>
      <c r="AG268" s="7"/>
      <c r="AH268" s="3"/>
      <c r="AI268" s="3"/>
      <c r="AJ268" s="3"/>
      <c r="AK268" s="3"/>
      <c r="AL268" s="7"/>
      <c r="AM268" s="22"/>
      <c r="AN268" s="22"/>
      <c r="AO268" s="22"/>
      <c r="AP268" s="3"/>
      <c r="AQ268" s="3"/>
      <c r="AR268" s="3"/>
      <c r="AS268" s="3"/>
      <c r="AT268" s="7"/>
      <c r="AU268" s="24"/>
      <c r="AV268" s="24"/>
      <c r="AW268" s="24"/>
      <c r="AX268" s="3"/>
      <c r="AY268" s="3"/>
      <c r="AZ268" s="3"/>
      <c r="BA268" s="3"/>
      <c r="BB268" s="3"/>
      <c r="BC268" s="24"/>
      <c r="BD268" s="24"/>
      <c r="BE268" s="24"/>
      <c r="BF268" s="3"/>
      <c r="BG268" s="3"/>
      <c r="BH268" s="3"/>
      <c r="BI268" s="3"/>
      <c r="BJ268" s="3"/>
      <c r="BK268" s="3"/>
      <c r="BR268" s="3"/>
    </row>
    <row r="269" spans="2:70" customFormat="1" x14ac:dyDescent="0.3">
      <c r="B269" s="6"/>
      <c r="C269" s="6"/>
      <c r="D269" s="6"/>
      <c r="E269" s="3"/>
      <c r="F269" s="23"/>
      <c r="G269" s="3"/>
      <c r="H269" s="3"/>
      <c r="M269" s="11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7"/>
      <c r="AE269" s="7"/>
      <c r="AF269" s="7"/>
      <c r="AG269" s="7"/>
      <c r="AH269" s="3"/>
      <c r="AI269" s="3"/>
      <c r="AJ269" s="3"/>
      <c r="AK269" s="3"/>
      <c r="AL269" s="7"/>
      <c r="AM269" s="22"/>
      <c r="AN269" s="22"/>
      <c r="AO269" s="22"/>
      <c r="AP269" s="3"/>
      <c r="AQ269" s="3"/>
      <c r="AR269" s="3"/>
      <c r="AS269" s="3"/>
      <c r="AT269" s="7"/>
      <c r="AU269" s="24"/>
      <c r="AV269" s="24"/>
      <c r="AW269" s="24"/>
      <c r="AX269" s="3"/>
      <c r="AY269" s="3"/>
      <c r="AZ269" s="3"/>
      <c r="BA269" s="3"/>
      <c r="BB269" s="3"/>
      <c r="BC269" s="24"/>
      <c r="BD269" s="24"/>
      <c r="BE269" s="24"/>
      <c r="BF269" s="3"/>
      <c r="BG269" s="3"/>
      <c r="BH269" s="3"/>
      <c r="BI269" s="3"/>
      <c r="BJ269" s="3"/>
      <c r="BK269" s="3"/>
      <c r="BR269" s="3"/>
    </row>
    <row r="270" spans="2:70" customFormat="1" x14ac:dyDescent="0.3">
      <c r="B270" s="6"/>
      <c r="C270" s="6"/>
      <c r="D270" s="6"/>
      <c r="E270" s="3"/>
      <c r="F270" s="23"/>
      <c r="G270" s="3"/>
      <c r="H270" s="3"/>
      <c r="M270" s="11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7"/>
      <c r="AE270" s="7"/>
      <c r="AF270" s="7"/>
      <c r="AG270" s="7"/>
      <c r="AH270" s="3"/>
      <c r="AI270" s="3"/>
      <c r="AJ270" s="3"/>
      <c r="AK270" s="3"/>
      <c r="AL270" s="7"/>
      <c r="AM270" s="22"/>
      <c r="AN270" s="22"/>
      <c r="AO270" s="22"/>
      <c r="AP270" s="3"/>
      <c r="AQ270" s="3"/>
      <c r="AR270" s="3"/>
      <c r="AS270" s="3"/>
      <c r="AT270" s="7"/>
      <c r="AU270" s="24"/>
      <c r="AV270" s="24"/>
      <c r="AW270" s="24"/>
      <c r="AX270" s="3"/>
      <c r="AY270" s="3"/>
      <c r="AZ270" s="3"/>
      <c r="BA270" s="3"/>
      <c r="BB270" s="3"/>
      <c r="BC270" s="24"/>
      <c r="BD270" s="24"/>
      <c r="BE270" s="24"/>
      <c r="BF270" s="3"/>
      <c r="BG270" s="3"/>
      <c r="BH270" s="3"/>
      <c r="BI270" s="3"/>
      <c r="BJ270" s="3"/>
      <c r="BK270" s="3"/>
      <c r="BR270" s="3"/>
    </row>
    <row r="271" spans="2:70" customFormat="1" x14ac:dyDescent="0.3">
      <c r="B271" s="6"/>
      <c r="C271" s="6"/>
      <c r="D271" s="6"/>
      <c r="E271" s="3"/>
      <c r="F271" s="23"/>
      <c r="G271" s="3"/>
      <c r="H271" s="3"/>
      <c r="M271" s="11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7"/>
      <c r="AE271" s="7"/>
      <c r="AF271" s="7"/>
      <c r="AG271" s="7"/>
      <c r="AH271" s="3"/>
      <c r="AI271" s="3"/>
      <c r="AJ271" s="3"/>
      <c r="AK271" s="3"/>
      <c r="AL271" s="7"/>
      <c r="AM271" s="22"/>
      <c r="AN271" s="22"/>
      <c r="AO271" s="22"/>
      <c r="AP271" s="3"/>
      <c r="AQ271" s="3"/>
      <c r="AR271" s="3"/>
      <c r="AS271" s="3"/>
      <c r="AT271" s="7"/>
      <c r="AU271" s="24"/>
      <c r="AV271" s="24"/>
      <c r="AW271" s="24"/>
      <c r="AX271" s="3"/>
      <c r="AY271" s="3"/>
      <c r="AZ271" s="3"/>
      <c r="BA271" s="3"/>
      <c r="BB271" s="3"/>
      <c r="BC271" s="24"/>
      <c r="BD271" s="24"/>
      <c r="BE271" s="24"/>
      <c r="BF271" s="3"/>
      <c r="BG271" s="3"/>
      <c r="BH271" s="3"/>
      <c r="BI271" s="3"/>
      <c r="BJ271" s="3"/>
      <c r="BK271" s="3"/>
      <c r="BR271" s="3"/>
    </row>
    <row r="272" spans="2:70" customFormat="1" x14ac:dyDescent="0.3">
      <c r="B272" s="6"/>
      <c r="C272" s="6"/>
      <c r="D272" s="6"/>
      <c r="E272" s="3"/>
      <c r="F272" s="23"/>
      <c r="G272" s="3"/>
      <c r="H272" s="3"/>
      <c r="M272" s="11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7"/>
      <c r="AE272" s="7"/>
      <c r="AF272" s="7"/>
      <c r="AG272" s="7"/>
      <c r="AH272" s="3"/>
      <c r="AI272" s="3"/>
      <c r="AJ272" s="3"/>
      <c r="AK272" s="3"/>
      <c r="AL272" s="7"/>
      <c r="AM272" s="22"/>
      <c r="AN272" s="22"/>
      <c r="AO272" s="22"/>
      <c r="AP272" s="3"/>
      <c r="AQ272" s="3"/>
      <c r="AR272" s="3"/>
      <c r="AS272" s="3"/>
      <c r="AT272" s="7"/>
      <c r="AU272" s="24"/>
      <c r="AV272" s="24"/>
      <c r="AW272" s="24"/>
      <c r="AX272" s="3"/>
      <c r="AY272" s="3"/>
      <c r="AZ272" s="3"/>
      <c r="BA272" s="3"/>
      <c r="BB272" s="3"/>
      <c r="BC272" s="24"/>
      <c r="BD272" s="24"/>
      <c r="BE272" s="24"/>
      <c r="BF272" s="3"/>
      <c r="BG272" s="3"/>
      <c r="BH272" s="3"/>
      <c r="BI272" s="3"/>
      <c r="BJ272" s="3"/>
      <c r="BK272" s="3"/>
      <c r="BR272" s="3"/>
    </row>
    <row r="273" spans="2:70" customFormat="1" x14ac:dyDescent="0.3">
      <c r="B273" s="6"/>
      <c r="C273" s="6"/>
      <c r="D273" s="6"/>
      <c r="E273" s="3"/>
      <c r="F273" s="23"/>
      <c r="G273" s="3"/>
      <c r="H273" s="3"/>
      <c r="M273" s="11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7"/>
      <c r="AE273" s="7"/>
      <c r="AF273" s="7"/>
      <c r="AG273" s="7"/>
      <c r="AH273" s="3"/>
      <c r="AI273" s="3"/>
      <c r="AJ273" s="3"/>
      <c r="AK273" s="3"/>
      <c r="AL273" s="7"/>
      <c r="AM273" s="22"/>
      <c r="AN273" s="22"/>
      <c r="AO273" s="22"/>
      <c r="AP273" s="3"/>
      <c r="AQ273" s="3"/>
      <c r="AR273" s="3"/>
      <c r="AS273" s="3"/>
      <c r="AT273" s="7"/>
      <c r="AU273" s="24"/>
      <c r="AV273" s="24"/>
      <c r="AW273" s="24"/>
      <c r="AX273" s="3"/>
      <c r="AY273" s="3"/>
      <c r="AZ273" s="3"/>
      <c r="BA273" s="3"/>
      <c r="BB273" s="3"/>
      <c r="BC273" s="24"/>
      <c r="BD273" s="24"/>
      <c r="BE273" s="24"/>
      <c r="BF273" s="3"/>
      <c r="BG273" s="3"/>
      <c r="BH273" s="3"/>
      <c r="BI273" s="3"/>
      <c r="BJ273" s="3"/>
      <c r="BK273" s="3"/>
      <c r="BR273" s="3"/>
    </row>
  </sheetData>
  <phoneticPr fontId="9" type="noConversion"/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L159"/>
  <sheetViews>
    <sheetView tabSelected="1" zoomScaleNormal="100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Q23" sqref="Q23"/>
    </sheetView>
  </sheetViews>
  <sheetFormatPr defaultColWidth="8.88671875" defaultRowHeight="14.4" x14ac:dyDescent="0.3"/>
  <cols>
    <col min="1" max="1" width="18.109375" bestFit="1" customWidth="1"/>
    <col min="2" max="2" width="7.33203125" bestFit="1" customWidth="1"/>
    <col min="3" max="3" width="9.44140625" hidden="1" customWidth="1"/>
    <col min="4" max="4" width="6.44140625" hidden="1" customWidth="1"/>
    <col min="5" max="5" width="8.44140625" style="8" hidden="1" customWidth="1"/>
    <col min="6" max="6" width="10.33203125" style="8" hidden="1" customWidth="1"/>
    <col min="7" max="7" width="9.77734375" style="8" hidden="1" customWidth="1"/>
    <col min="8" max="8" width="8.44140625" style="8" hidden="1" customWidth="1"/>
    <col min="9" max="9" width="16.77734375" style="8" bestFit="1" customWidth="1"/>
    <col min="10" max="10" width="4.5546875" style="8" hidden="1" customWidth="1"/>
    <col min="11" max="11" width="4.21875" style="8" hidden="1" customWidth="1"/>
    <col min="12" max="12" width="8.109375" style="8" bestFit="1" customWidth="1"/>
    <col min="13" max="13" width="8.88671875" style="8" customWidth="1"/>
    <col min="14" max="14" width="9.6640625" style="8" bestFit="1" customWidth="1"/>
    <col min="15" max="15" width="8.109375" bestFit="1" customWidth="1"/>
    <col min="16" max="16" width="8.88671875" bestFit="1" customWidth="1"/>
    <col min="17" max="17" width="9.6640625" bestFit="1" customWidth="1"/>
    <col min="18" max="18" width="8.109375" bestFit="1" customWidth="1"/>
    <col min="19" max="19" width="8.88671875" bestFit="1" customWidth="1"/>
    <col min="20" max="20" width="9.6640625" bestFit="1" customWidth="1"/>
    <col min="21" max="21" width="8.109375" style="4" bestFit="1" customWidth="1"/>
    <col min="22" max="22" width="8.88671875" bestFit="1" customWidth="1"/>
    <col min="23" max="23" width="9.6640625" bestFit="1" customWidth="1"/>
    <col min="24" max="24" width="4.5546875" style="12" bestFit="1" customWidth="1"/>
    <col min="25" max="25" width="7.77734375" style="12" bestFit="1" customWidth="1"/>
    <col min="26" max="26" width="10.21875" style="12" bestFit="1" customWidth="1"/>
    <col min="27" max="27" width="6.6640625" style="12" bestFit="1" customWidth="1"/>
    <col min="28" max="28" width="10.88671875" style="13" hidden="1" customWidth="1"/>
    <col min="29" max="29" width="8.33203125" style="12" hidden="1" customWidth="1"/>
    <col min="30" max="30" width="9.44140625" style="12" hidden="1" customWidth="1"/>
    <col min="31" max="31" width="12.88671875" style="12" hidden="1" customWidth="1"/>
    <col min="32" max="32" width="15.88671875" style="12" hidden="1" customWidth="1"/>
    <col min="33" max="33" width="13.6640625" style="12" hidden="1" customWidth="1"/>
    <col min="34" max="34" width="17.21875" style="12" hidden="1" customWidth="1"/>
    <col min="35" max="35" width="17.44140625" style="13" hidden="1" customWidth="1"/>
    <col min="36" max="36" width="16.5546875" style="5" hidden="1" customWidth="1"/>
    <col min="37" max="37" width="9.44140625" bestFit="1" customWidth="1"/>
    <col min="38" max="38" width="4" style="4" hidden="1" customWidth="1"/>
    <col min="39" max="39" width="4.6640625" style="12" hidden="1" customWidth="1"/>
    <col min="40" max="40" width="4" style="9" hidden="1" customWidth="1"/>
    <col min="41" max="41" width="4.21875" style="12" hidden="1" customWidth="1"/>
    <col min="42" max="43" width="4" style="12" hidden="1" customWidth="1"/>
    <col min="44" max="44" width="4.109375" style="13" hidden="1" customWidth="1"/>
    <col min="45" max="45" width="4.6640625" style="12" hidden="1" customWidth="1"/>
    <col min="46" max="46" width="4" style="12" bestFit="1" customWidth="1"/>
    <col min="47" max="47" width="5.109375" style="13" hidden="1" customWidth="1"/>
    <col min="48" max="48" width="10.44140625" style="12" hidden="1" customWidth="1"/>
    <col min="49" max="49" width="5.33203125" style="14" hidden="1" customWidth="1"/>
    <col min="50" max="50" width="6.77734375" style="14" hidden="1" customWidth="1"/>
    <col min="51" max="51" width="11" style="12" hidden="1" customWidth="1"/>
    <col min="52" max="52" width="16.6640625" style="12" hidden="1" customWidth="1"/>
    <col min="53" max="53" width="15.5546875" style="12" hidden="1" customWidth="1"/>
    <col min="54" max="54" width="14.6640625" style="12" hidden="1" customWidth="1"/>
    <col min="55" max="55" width="18.109375" style="13" hidden="1" customWidth="1"/>
    <col min="56" max="56" width="17.33203125" style="12" hidden="1" customWidth="1"/>
    <col min="57" max="57" width="15.21875" style="13" hidden="1" customWidth="1"/>
    <col min="58" max="58" width="9.5546875" style="12" hidden="1" customWidth="1"/>
    <col min="59" max="59" width="6.5546875" style="12" hidden="1" customWidth="1"/>
    <col min="60" max="60" width="7.77734375" style="13" hidden="1" customWidth="1"/>
    <col min="61" max="61" width="6.6640625" hidden="1" customWidth="1"/>
    <col min="62" max="62" width="13" hidden="1" customWidth="1"/>
    <col min="63" max="63" width="12.5546875" hidden="1" customWidth="1"/>
    <col min="64" max="64" width="7.109375" hidden="1" customWidth="1"/>
    <col min="65" max="65" width="8.21875" style="4" bestFit="1" customWidth="1"/>
    <col min="66" max="66" width="8.21875" style="9" bestFit="1" customWidth="1"/>
    <col min="67" max="67" width="8.77734375" style="10" bestFit="1" customWidth="1"/>
    <col min="68" max="69" width="8.21875" style="12" bestFit="1" customWidth="1"/>
    <col min="70" max="70" width="8.77734375" style="13" bestFit="1" customWidth="1"/>
    <col min="71" max="71" width="9.88671875" hidden="1" customWidth="1"/>
    <col min="72" max="72" width="6.88671875" hidden="1" customWidth="1"/>
    <col min="73" max="73" width="8.88671875" hidden="1" customWidth="1"/>
    <col min="74" max="74" width="12.21875" bestFit="1" customWidth="1"/>
    <col min="75" max="75" width="16.21875" hidden="1" customWidth="1"/>
    <col min="76" max="76" width="13.6640625" hidden="1" customWidth="1"/>
    <col min="77" max="77" width="9.21875" hidden="1" customWidth="1"/>
    <col min="78" max="78" width="8.21875" hidden="1" customWidth="1"/>
    <col min="79" max="79" width="10.33203125" hidden="1" customWidth="1"/>
    <col min="80" max="80" width="9.77734375" hidden="1" customWidth="1"/>
    <col min="81" max="81" width="10" hidden="1" customWidth="1"/>
    <col min="82" max="82" width="11.109375" hidden="1" customWidth="1"/>
    <col min="83" max="83" width="11.5546875" hidden="1" customWidth="1"/>
    <col min="84" max="84" width="7.88671875" hidden="1" customWidth="1"/>
    <col min="85" max="85" width="10" hidden="1" customWidth="1"/>
    <col min="86" max="86" width="7.44140625" hidden="1" customWidth="1"/>
    <col min="87" max="87" width="15.33203125" hidden="1" customWidth="1"/>
    <col min="88" max="88" width="14.109375" hidden="1" customWidth="1"/>
    <col min="89" max="89" width="17.21875" hidden="1" customWidth="1"/>
    <col min="90" max="90" width="10.5546875" customWidth="1"/>
    <col min="91" max="91" width="19.21875" bestFit="1" customWidth="1"/>
    <col min="92" max="92" width="14.77734375" hidden="1" customWidth="1"/>
    <col min="93" max="93" width="14.21875" hidden="1" customWidth="1"/>
    <col min="94" max="94" width="15" hidden="1" customWidth="1"/>
    <col min="95" max="95" width="12.109375" hidden="1" customWidth="1"/>
    <col min="96" max="96" width="10.44140625" bestFit="1" customWidth="1"/>
    <col min="97" max="97" width="12.77734375" bestFit="1" customWidth="1"/>
    <col min="98" max="98" width="11.6640625" bestFit="1" customWidth="1"/>
    <col min="99" max="99" width="11.21875" bestFit="1" customWidth="1"/>
    <col min="100" max="100" width="11.6640625" bestFit="1" customWidth="1"/>
    <col min="101" max="101" width="11.109375" bestFit="1" customWidth="1"/>
    <col min="102" max="102" width="13.77734375" bestFit="1" customWidth="1"/>
    <col min="103" max="103" width="17.5546875" bestFit="1" customWidth="1"/>
    <col min="104" max="104" width="7.21875" bestFit="1" customWidth="1"/>
    <col min="105" max="105" width="13.77734375" bestFit="1" customWidth="1"/>
    <col min="106" max="106" width="10.44140625" bestFit="1" customWidth="1"/>
    <col min="107" max="107" width="12.77734375" bestFit="1" customWidth="1"/>
    <col min="108" max="108" width="11.6640625" bestFit="1" customWidth="1"/>
    <col min="109" max="109" width="11.21875" bestFit="1" customWidth="1"/>
    <col min="110" max="110" width="11.6640625" bestFit="1" customWidth="1"/>
    <col min="111" max="111" width="11.109375" bestFit="1" customWidth="1"/>
    <col min="112" max="112" width="13.77734375" bestFit="1" customWidth="1"/>
    <col min="113" max="113" width="17.5546875" bestFit="1" customWidth="1"/>
    <col min="114" max="114" width="7.21875" bestFit="1" customWidth="1"/>
    <col min="115" max="115" width="13.77734375" bestFit="1" customWidth="1"/>
    <col min="116" max="116" width="10.44140625" bestFit="1" customWidth="1"/>
    <col min="117" max="117" width="12.77734375" bestFit="1" customWidth="1"/>
    <col min="118" max="118" width="11.6640625" bestFit="1" customWidth="1"/>
    <col min="119" max="119" width="11.21875" bestFit="1" customWidth="1"/>
    <col min="120" max="120" width="11.6640625" bestFit="1" customWidth="1"/>
    <col min="121" max="121" width="11.109375" bestFit="1" customWidth="1"/>
    <col min="122" max="122" width="13.77734375" bestFit="1" customWidth="1"/>
    <col min="123" max="123" width="17.5546875" bestFit="1" customWidth="1"/>
    <col min="124" max="124" width="7.21875" bestFit="1" customWidth="1"/>
    <col min="125" max="125" width="13.77734375" bestFit="1" customWidth="1"/>
    <col min="126" max="126" width="11.21875" hidden="1" customWidth="1"/>
    <col min="127" max="128" width="18.88671875" hidden="1" customWidth="1"/>
    <col min="129" max="129" width="10.5546875" hidden="1" customWidth="1"/>
    <col min="130" max="130" width="8.6640625" hidden="1" customWidth="1"/>
    <col min="131" max="131" width="9.33203125" hidden="1" customWidth="1"/>
    <col min="132" max="132" width="9.77734375" hidden="1" customWidth="1"/>
    <col min="133" max="133" width="11" hidden="1" customWidth="1"/>
    <col min="134" max="134" width="7.5546875" hidden="1" customWidth="1"/>
    <col min="135" max="136" width="10.77734375" hidden="1" customWidth="1"/>
    <col min="137" max="137" width="9.21875" hidden="1" customWidth="1"/>
    <col min="138" max="138" width="10" hidden="1" customWidth="1"/>
    <col min="139" max="139" width="11.5546875" hidden="1" customWidth="1"/>
    <col min="140" max="140" width="8.21875" hidden="1" customWidth="1"/>
    <col min="141" max="141" width="6.21875" hidden="1" customWidth="1"/>
    <col min="142" max="143" width="8.109375" hidden="1" customWidth="1"/>
    <col min="144" max="144" width="9" hidden="1" customWidth="1"/>
    <col min="145" max="145" width="6.88671875" hidden="1" customWidth="1"/>
    <col min="146" max="146" width="12.33203125" hidden="1" customWidth="1"/>
    <col min="147" max="147" width="10.6640625" hidden="1" customWidth="1"/>
    <col min="148" max="148" width="6.5546875" hidden="1" customWidth="1"/>
    <col min="149" max="149" width="7.109375" hidden="1" customWidth="1"/>
    <col min="150" max="150" width="10.33203125" hidden="1" customWidth="1"/>
    <col min="151" max="151" width="9.77734375" hidden="1" customWidth="1"/>
    <col min="152" max="152" width="8.5546875" hidden="1" customWidth="1"/>
    <col min="153" max="153" width="9.77734375" hidden="1" customWidth="1"/>
    <col min="154" max="154" width="8.5546875" hidden="1" customWidth="1"/>
    <col min="155" max="155" width="9.77734375" hidden="1" customWidth="1"/>
    <col min="156" max="156" width="11" bestFit="1" customWidth="1"/>
    <col min="157" max="157" width="5.6640625" bestFit="1" customWidth="1"/>
    <col min="158" max="158" width="8.109375" hidden="1" customWidth="1"/>
    <col min="159" max="159" width="7.5546875" hidden="1" customWidth="1"/>
    <col min="160" max="160" width="8.21875" hidden="1" customWidth="1"/>
    <col min="161" max="161" width="9.21875" hidden="1" customWidth="1"/>
    <col min="162" max="162" width="9.88671875" hidden="1" customWidth="1"/>
    <col min="163" max="163" width="11.33203125" hidden="1" customWidth="1"/>
    <col min="164" max="164" width="13.5546875" hidden="1" customWidth="1"/>
    <col min="165" max="165" width="7.5546875" hidden="1" customWidth="1"/>
    <col min="166" max="166" width="16.6640625" hidden="1" customWidth="1"/>
    <col min="167" max="167" width="8.77734375" hidden="1" customWidth="1"/>
    <col min="168" max="168" width="16.109375" hidden="1" customWidth="1"/>
    <col min="169" max="633" width="10.5546875" customWidth="1"/>
    <col min="634" max="836" width="9.109375" customWidth="1"/>
  </cols>
  <sheetData>
    <row r="1" spans="1:168" s="31" customFormat="1" ht="15" thickBot="1" x14ac:dyDescent="0.35">
      <c r="A1" s="32" t="s">
        <v>52</v>
      </c>
      <c r="B1" s="82" t="s">
        <v>255</v>
      </c>
      <c r="C1" s="82" t="s">
        <v>256</v>
      </c>
      <c r="D1" s="82" t="s">
        <v>257</v>
      </c>
      <c r="E1" s="82" t="s">
        <v>258</v>
      </c>
      <c r="F1" s="82" t="s">
        <v>259</v>
      </c>
      <c r="G1" s="82" t="s">
        <v>260</v>
      </c>
      <c r="H1" s="82" t="s">
        <v>261</v>
      </c>
      <c r="I1" s="83" t="s">
        <v>162</v>
      </c>
      <c r="J1" s="83" t="s">
        <v>229</v>
      </c>
      <c r="K1" s="83" t="s">
        <v>230</v>
      </c>
      <c r="L1" s="84" t="s">
        <v>262</v>
      </c>
      <c r="M1" s="84" t="s">
        <v>264</v>
      </c>
      <c r="N1" s="84" t="s">
        <v>263</v>
      </c>
      <c r="O1" s="84" t="s">
        <v>265</v>
      </c>
      <c r="P1" s="84" t="s">
        <v>267</v>
      </c>
      <c r="Q1" s="84" t="s">
        <v>266</v>
      </c>
      <c r="R1" s="84" t="s">
        <v>268</v>
      </c>
      <c r="S1" s="84" t="s">
        <v>270</v>
      </c>
      <c r="T1" s="84" t="s">
        <v>269</v>
      </c>
      <c r="U1" s="84" t="s">
        <v>336</v>
      </c>
      <c r="V1" s="84" t="s">
        <v>337</v>
      </c>
      <c r="W1" s="84" t="s">
        <v>338</v>
      </c>
      <c r="X1" s="85" t="s">
        <v>53</v>
      </c>
      <c r="Y1" s="86" t="s">
        <v>54</v>
      </c>
      <c r="Z1" s="86" t="s">
        <v>55</v>
      </c>
      <c r="AA1" s="85" t="s">
        <v>56</v>
      </c>
      <c r="AB1" s="85" t="s">
        <v>163</v>
      </c>
      <c r="AC1" s="85" t="s">
        <v>164</v>
      </c>
      <c r="AD1" s="85" t="s">
        <v>165</v>
      </c>
      <c r="AE1" s="85" t="s">
        <v>166</v>
      </c>
      <c r="AF1" s="85" t="s">
        <v>167</v>
      </c>
      <c r="AG1" s="85" t="s">
        <v>168</v>
      </c>
      <c r="AH1" s="87" t="s">
        <v>169</v>
      </c>
      <c r="AI1" s="87" t="s">
        <v>170</v>
      </c>
      <c r="AJ1" s="88" t="s">
        <v>171</v>
      </c>
      <c r="AK1" s="89" t="s">
        <v>57</v>
      </c>
      <c r="AL1" s="89" t="s">
        <v>58</v>
      </c>
      <c r="AM1" s="89" t="s">
        <v>59</v>
      </c>
      <c r="AN1" s="89" t="s">
        <v>60</v>
      </c>
      <c r="AO1" s="89" t="s">
        <v>61</v>
      </c>
      <c r="AP1" s="89" t="s">
        <v>62</v>
      </c>
      <c r="AQ1" s="89" t="s">
        <v>63</v>
      </c>
      <c r="AR1" s="89" t="s">
        <v>64</v>
      </c>
      <c r="AS1" s="89" t="s">
        <v>65</v>
      </c>
      <c r="AT1" s="89" t="s">
        <v>66</v>
      </c>
      <c r="AU1" s="90" t="s">
        <v>68</v>
      </c>
      <c r="AV1" s="90" t="s">
        <v>69</v>
      </c>
      <c r="AW1" s="90" t="s">
        <v>172</v>
      </c>
      <c r="AX1" s="90" t="s">
        <v>173</v>
      </c>
      <c r="AY1" s="90" t="s">
        <v>174</v>
      </c>
      <c r="AZ1" s="91" t="s">
        <v>175</v>
      </c>
      <c r="BA1" s="91" t="s">
        <v>176</v>
      </c>
      <c r="BB1" s="91" t="s">
        <v>177</v>
      </c>
      <c r="BC1" s="91" t="s">
        <v>178</v>
      </c>
      <c r="BD1" s="91" t="s">
        <v>179</v>
      </c>
      <c r="BE1" s="92" t="s">
        <v>70</v>
      </c>
      <c r="BF1" s="93" t="s">
        <v>71</v>
      </c>
      <c r="BG1" s="93" t="s">
        <v>72</v>
      </c>
      <c r="BH1" s="92" t="s">
        <v>73</v>
      </c>
      <c r="BI1" s="94" t="s">
        <v>74</v>
      </c>
      <c r="BJ1" s="94" t="s">
        <v>75</v>
      </c>
      <c r="BK1" s="94" t="s">
        <v>76</v>
      </c>
      <c r="BL1" s="95" t="s">
        <v>77</v>
      </c>
      <c r="BM1" s="96" t="s">
        <v>271</v>
      </c>
      <c r="BN1" s="97" t="s">
        <v>273</v>
      </c>
      <c r="BO1" s="98" t="s">
        <v>272</v>
      </c>
      <c r="BP1" s="96" t="s">
        <v>292</v>
      </c>
      <c r="BQ1" s="96" t="s">
        <v>293</v>
      </c>
      <c r="BR1" s="96" t="s">
        <v>294</v>
      </c>
      <c r="BS1" s="94" t="s">
        <v>78</v>
      </c>
      <c r="BT1" s="95" t="s">
        <v>79</v>
      </c>
      <c r="BU1" s="99" t="s">
        <v>67</v>
      </c>
      <c r="BV1" s="100" t="s">
        <v>80</v>
      </c>
      <c r="BW1" s="101" t="s">
        <v>180</v>
      </c>
      <c r="BX1" s="102" t="s">
        <v>249</v>
      </c>
      <c r="BY1" s="103" t="s">
        <v>253</v>
      </c>
      <c r="BZ1" s="103" t="s">
        <v>254</v>
      </c>
      <c r="CA1" s="104" t="s">
        <v>81</v>
      </c>
      <c r="CB1" s="105" t="s">
        <v>82</v>
      </c>
      <c r="CC1" s="105" t="s">
        <v>181</v>
      </c>
      <c r="CD1" s="105" t="s">
        <v>182</v>
      </c>
      <c r="CE1" s="105" t="s">
        <v>183</v>
      </c>
      <c r="CF1" s="105" t="s">
        <v>184</v>
      </c>
      <c r="CG1" s="105" t="s">
        <v>248</v>
      </c>
      <c r="CH1" s="106" t="s">
        <v>185</v>
      </c>
      <c r="CI1" s="107" t="s">
        <v>186</v>
      </c>
      <c r="CJ1" s="108" t="s">
        <v>187</v>
      </c>
      <c r="CK1" s="109" t="s">
        <v>83</v>
      </c>
      <c r="CL1" s="110" t="s">
        <v>188</v>
      </c>
      <c r="CM1" s="111" t="s">
        <v>189</v>
      </c>
      <c r="CN1" s="110" t="s">
        <v>190</v>
      </c>
      <c r="CO1" s="112" t="s">
        <v>191</v>
      </c>
      <c r="CP1" s="112" t="s">
        <v>192</v>
      </c>
      <c r="CQ1" s="112" t="s">
        <v>193</v>
      </c>
      <c r="CR1" s="113" t="s">
        <v>339</v>
      </c>
      <c r="CS1" s="113" t="s">
        <v>340</v>
      </c>
      <c r="CT1" s="113" t="s">
        <v>341</v>
      </c>
      <c r="CU1" s="113" t="s">
        <v>342</v>
      </c>
      <c r="CV1" s="113" t="s">
        <v>343</v>
      </c>
      <c r="CW1" s="113" t="s">
        <v>344</v>
      </c>
      <c r="CX1" s="113" t="s">
        <v>345</v>
      </c>
      <c r="CY1" s="114" t="s">
        <v>346</v>
      </c>
      <c r="CZ1" s="113" t="s">
        <v>347</v>
      </c>
      <c r="DA1" s="114" t="s">
        <v>348</v>
      </c>
      <c r="DB1" s="113" t="s">
        <v>349</v>
      </c>
      <c r="DC1" s="113" t="s">
        <v>350</v>
      </c>
      <c r="DD1" s="113" t="s">
        <v>351</v>
      </c>
      <c r="DE1" s="113" t="s">
        <v>352</v>
      </c>
      <c r="DF1" s="113" t="s">
        <v>353</v>
      </c>
      <c r="DG1" s="113" t="s">
        <v>354</v>
      </c>
      <c r="DH1" s="113" t="s">
        <v>355</v>
      </c>
      <c r="DI1" s="114" t="s">
        <v>356</v>
      </c>
      <c r="DJ1" s="113" t="s">
        <v>357</v>
      </c>
      <c r="DK1" s="114" t="s">
        <v>358</v>
      </c>
      <c r="DL1" s="113" t="s">
        <v>359</v>
      </c>
      <c r="DM1" s="113" t="s">
        <v>360</v>
      </c>
      <c r="DN1" s="113" t="s">
        <v>361</v>
      </c>
      <c r="DO1" s="113" t="s">
        <v>362</v>
      </c>
      <c r="DP1" s="113" t="s">
        <v>363</v>
      </c>
      <c r="DQ1" s="113" t="s">
        <v>364</v>
      </c>
      <c r="DR1" s="113" t="s">
        <v>365</v>
      </c>
      <c r="DS1" s="114" t="s">
        <v>366</v>
      </c>
      <c r="DT1" s="113" t="s">
        <v>367</v>
      </c>
      <c r="DU1" s="114" t="s">
        <v>368</v>
      </c>
      <c r="DV1" s="115" t="s">
        <v>194</v>
      </c>
      <c r="DW1" s="115" t="s">
        <v>195</v>
      </c>
      <c r="DX1" s="116" t="s">
        <v>196</v>
      </c>
      <c r="DY1" s="117" t="s">
        <v>247</v>
      </c>
      <c r="DZ1" s="117" t="s">
        <v>197</v>
      </c>
      <c r="EA1" s="117" t="s">
        <v>198</v>
      </c>
      <c r="EB1" s="117" t="s">
        <v>199</v>
      </c>
      <c r="EC1" s="117" t="s">
        <v>200</v>
      </c>
      <c r="ED1" s="117" t="s">
        <v>201</v>
      </c>
      <c r="EE1" s="118" t="s">
        <v>202</v>
      </c>
      <c r="EF1" s="94" t="s">
        <v>203</v>
      </c>
      <c r="EG1" s="119" t="s">
        <v>84</v>
      </c>
      <c r="EH1" s="120" t="s">
        <v>85</v>
      </c>
      <c r="EI1" s="110" t="s">
        <v>86</v>
      </c>
      <c r="EJ1" s="110" t="s">
        <v>87</v>
      </c>
      <c r="EK1" s="110" t="s">
        <v>88</v>
      </c>
      <c r="EL1" s="110" t="s">
        <v>89</v>
      </c>
      <c r="EM1" s="112" t="s">
        <v>90</v>
      </c>
      <c r="EN1" s="121" t="s">
        <v>204</v>
      </c>
      <c r="EO1" s="122" t="s">
        <v>205</v>
      </c>
      <c r="EP1" s="123" t="s">
        <v>206</v>
      </c>
      <c r="EQ1" s="123" t="s">
        <v>207</v>
      </c>
      <c r="ER1" s="124" t="s">
        <v>208</v>
      </c>
      <c r="ES1" s="125" t="s">
        <v>209</v>
      </c>
      <c r="ET1" s="125" t="s">
        <v>210</v>
      </c>
      <c r="EU1" s="125" t="s">
        <v>211</v>
      </c>
      <c r="EV1" s="125" t="s">
        <v>212</v>
      </c>
      <c r="EW1" s="125" t="s">
        <v>213</v>
      </c>
      <c r="EX1" s="125" t="s">
        <v>214</v>
      </c>
      <c r="EY1" s="126" t="s">
        <v>215</v>
      </c>
      <c r="EZ1" s="127" t="s">
        <v>216</v>
      </c>
      <c r="FA1" s="128" t="s">
        <v>217</v>
      </c>
      <c r="FB1" s="121" t="s">
        <v>218</v>
      </c>
      <c r="FC1" s="121" t="s">
        <v>219</v>
      </c>
      <c r="FD1" s="121" t="s">
        <v>220</v>
      </c>
      <c r="FE1" s="121" t="s">
        <v>221</v>
      </c>
      <c r="FF1" s="122" t="s">
        <v>222</v>
      </c>
      <c r="FG1" s="96" t="s">
        <v>223</v>
      </c>
      <c r="FH1" s="96" t="s">
        <v>224</v>
      </c>
      <c r="FI1" s="96" t="s">
        <v>225</v>
      </c>
      <c r="FJ1" s="96" t="s">
        <v>226</v>
      </c>
      <c r="FK1" s="98" t="s">
        <v>227</v>
      </c>
      <c r="FL1" s="124" t="s">
        <v>228</v>
      </c>
    </row>
    <row r="2" spans="1:168" s="31" customFormat="1" ht="15" customHeight="1" x14ac:dyDescent="0.3">
      <c r="A2" s="31" t="s">
        <v>301</v>
      </c>
      <c r="B2" s="129">
        <v>999</v>
      </c>
      <c r="C2" s="129">
        <v>1</v>
      </c>
      <c r="D2" s="129">
        <v>0</v>
      </c>
      <c r="E2" s="129">
        <v>0</v>
      </c>
      <c r="F2" s="129">
        <v>0</v>
      </c>
      <c r="G2" s="129">
        <v>0</v>
      </c>
      <c r="H2" s="129">
        <v>0</v>
      </c>
      <c r="I2" s="146">
        <v>1</v>
      </c>
      <c r="J2" s="146">
        <v>0.14000000000000001</v>
      </c>
      <c r="K2" s="146">
        <v>5</v>
      </c>
      <c r="L2" s="157">
        <v>62</v>
      </c>
      <c r="M2" s="157">
        <v>0</v>
      </c>
      <c r="N2" s="157">
        <v>5</v>
      </c>
      <c r="O2" s="129" t="s">
        <v>305</v>
      </c>
      <c r="P2" s="129" t="s">
        <v>305</v>
      </c>
      <c r="Q2" s="129" t="s">
        <v>305</v>
      </c>
      <c r="R2" s="129" t="s">
        <v>305</v>
      </c>
      <c r="S2" s="129" t="s">
        <v>305</v>
      </c>
      <c r="T2" s="129" t="s">
        <v>305</v>
      </c>
      <c r="U2" s="129" t="s">
        <v>305</v>
      </c>
      <c r="V2" s="129" t="s">
        <v>305</v>
      </c>
      <c r="W2" s="129" t="s">
        <v>305</v>
      </c>
      <c r="X2" s="129">
        <v>62</v>
      </c>
      <c r="Y2" s="129">
        <v>2.5</v>
      </c>
      <c r="Z2" s="129">
        <v>280.85106382978722</v>
      </c>
      <c r="AA2" s="129">
        <v>2</v>
      </c>
      <c r="AB2" s="29">
        <v>2</v>
      </c>
      <c r="AC2" s="29">
        <v>0</v>
      </c>
      <c r="AD2" s="29">
        <v>0</v>
      </c>
      <c r="AE2" s="29">
        <v>2</v>
      </c>
      <c r="AF2" s="29">
        <v>0</v>
      </c>
      <c r="AG2" s="29">
        <v>0</v>
      </c>
      <c r="AH2" s="147">
        <v>999</v>
      </c>
      <c r="AI2" s="147">
        <v>999</v>
      </c>
      <c r="AJ2" s="148">
        <v>999</v>
      </c>
      <c r="AK2" s="129">
        <v>1</v>
      </c>
      <c r="AL2" s="129">
        <v>999</v>
      </c>
      <c r="AM2" s="129">
        <v>999</v>
      </c>
      <c r="AN2" s="129">
        <v>999</v>
      </c>
      <c r="AO2" s="129">
        <v>999</v>
      </c>
      <c r="AP2" s="129">
        <v>999</v>
      </c>
      <c r="AQ2" s="129">
        <v>999</v>
      </c>
      <c r="AR2" s="129">
        <v>999</v>
      </c>
      <c r="AS2" s="129">
        <v>999</v>
      </c>
      <c r="AT2" s="129">
        <v>212</v>
      </c>
      <c r="AU2" s="29">
        <v>1</v>
      </c>
      <c r="AV2" s="29">
        <v>2</v>
      </c>
      <c r="AW2" s="29">
        <v>0</v>
      </c>
      <c r="AX2" s="29">
        <v>0</v>
      </c>
      <c r="AY2" s="29">
        <v>0</v>
      </c>
      <c r="AZ2" s="149">
        <v>3</v>
      </c>
      <c r="BA2" s="149">
        <v>999</v>
      </c>
      <c r="BB2" s="149">
        <v>999</v>
      </c>
      <c r="BC2" s="149">
        <v>0</v>
      </c>
      <c r="BD2" s="149">
        <v>0</v>
      </c>
      <c r="BE2" s="27">
        <v>2</v>
      </c>
      <c r="BF2" s="129">
        <v>1</v>
      </c>
      <c r="BG2" s="129">
        <v>0</v>
      </c>
      <c r="BH2" s="150">
        <v>150</v>
      </c>
      <c r="BI2" s="29">
        <v>0.01</v>
      </c>
      <c r="BJ2" s="29">
        <v>2</v>
      </c>
      <c r="BK2" s="29">
        <v>1</v>
      </c>
      <c r="BL2" s="27">
        <v>0</v>
      </c>
      <c r="BM2" s="129">
        <v>91</v>
      </c>
      <c r="BN2" s="129">
        <v>60</v>
      </c>
      <c r="BO2" s="129">
        <v>2</v>
      </c>
      <c r="BP2" s="129">
        <v>117</v>
      </c>
      <c r="BQ2" s="129">
        <v>62</v>
      </c>
      <c r="BR2" s="129">
        <v>2</v>
      </c>
      <c r="BS2" s="129">
        <v>1</v>
      </c>
      <c r="BT2" s="150">
        <v>0</v>
      </c>
      <c r="BU2" s="129">
        <v>999</v>
      </c>
      <c r="BV2" s="129" t="s">
        <v>369</v>
      </c>
      <c r="BW2" s="146">
        <v>2</v>
      </c>
      <c r="BX2" s="151">
        <v>0</v>
      </c>
      <c r="BY2" s="29">
        <v>1</v>
      </c>
      <c r="BZ2" s="29">
        <v>1</v>
      </c>
      <c r="CA2" s="27">
        <v>0</v>
      </c>
      <c r="CB2" s="29">
        <v>1</v>
      </c>
      <c r="CC2" s="29">
        <v>1</v>
      </c>
      <c r="CD2" s="29">
        <v>0</v>
      </c>
      <c r="CE2" s="29">
        <v>0</v>
      </c>
      <c r="CF2" s="29">
        <v>0</v>
      </c>
      <c r="CG2" s="29">
        <v>0</v>
      </c>
      <c r="CH2" s="27">
        <v>0</v>
      </c>
      <c r="CI2" s="27">
        <v>1</v>
      </c>
      <c r="CJ2" s="29">
        <v>2</v>
      </c>
      <c r="CK2" s="27">
        <v>0</v>
      </c>
      <c r="CL2" s="29">
        <v>2</v>
      </c>
      <c r="CM2" s="152">
        <v>2</v>
      </c>
      <c r="CN2" s="129">
        <v>1</v>
      </c>
      <c r="CO2" s="129">
        <v>2</v>
      </c>
      <c r="CP2" s="129">
        <v>0</v>
      </c>
      <c r="CQ2" s="150" t="s">
        <v>370</v>
      </c>
      <c r="CR2" s="153" t="s">
        <v>305</v>
      </c>
      <c r="CS2" s="153" t="s">
        <v>305</v>
      </c>
      <c r="CT2" s="153" t="s">
        <v>305</v>
      </c>
      <c r="CU2" s="153" t="s">
        <v>305</v>
      </c>
      <c r="CV2" s="153" t="s">
        <v>305</v>
      </c>
      <c r="CW2" s="153" t="s">
        <v>305</v>
      </c>
      <c r="CX2" s="153" t="s">
        <v>305</v>
      </c>
      <c r="CY2" s="153" t="s">
        <v>305</v>
      </c>
      <c r="CZ2" s="153" t="s">
        <v>305</v>
      </c>
      <c r="DA2" s="154" t="s">
        <v>305</v>
      </c>
      <c r="DB2" s="153" t="s">
        <v>305</v>
      </c>
      <c r="DC2" s="153" t="s">
        <v>305</v>
      </c>
      <c r="DD2" s="153" t="s">
        <v>305</v>
      </c>
      <c r="DE2" s="153" t="s">
        <v>305</v>
      </c>
      <c r="DF2" s="153" t="s">
        <v>305</v>
      </c>
      <c r="DG2" s="153" t="s">
        <v>305</v>
      </c>
      <c r="DH2" s="153" t="s">
        <v>305</v>
      </c>
      <c r="DI2" s="153" t="s">
        <v>305</v>
      </c>
      <c r="DJ2" s="153" t="s">
        <v>305</v>
      </c>
      <c r="DK2" s="154" t="s">
        <v>305</v>
      </c>
      <c r="DL2" s="153" t="s">
        <v>305</v>
      </c>
      <c r="DM2" s="153" t="s">
        <v>305</v>
      </c>
      <c r="DN2" s="153" t="s">
        <v>305</v>
      </c>
      <c r="DO2" s="153" t="s">
        <v>305</v>
      </c>
      <c r="DP2" s="153" t="s">
        <v>305</v>
      </c>
      <c r="DQ2" s="153" t="s">
        <v>305</v>
      </c>
      <c r="DR2" s="153" t="s">
        <v>305</v>
      </c>
      <c r="DS2" s="153" t="s">
        <v>305</v>
      </c>
      <c r="DT2" s="153" t="s">
        <v>305</v>
      </c>
      <c r="DU2" s="154" t="s">
        <v>305</v>
      </c>
      <c r="DV2" s="129">
        <v>1</v>
      </c>
      <c r="DW2" s="129">
        <v>0</v>
      </c>
      <c r="DX2" s="150">
        <v>0</v>
      </c>
      <c r="DY2" s="29">
        <v>1</v>
      </c>
      <c r="DZ2" s="29">
        <v>0</v>
      </c>
      <c r="EA2" s="29">
        <v>0</v>
      </c>
      <c r="EB2" s="29">
        <v>0</v>
      </c>
      <c r="EC2" s="29">
        <v>2</v>
      </c>
      <c r="ED2" s="29">
        <v>999</v>
      </c>
      <c r="EE2" s="27">
        <v>0</v>
      </c>
      <c r="EF2" s="29">
        <v>1</v>
      </c>
      <c r="EG2" s="28">
        <v>1</v>
      </c>
      <c r="EH2" s="28">
        <v>1</v>
      </c>
      <c r="EI2" s="29">
        <v>1</v>
      </c>
      <c r="EJ2" s="29">
        <v>0</v>
      </c>
      <c r="EK2" s="29">
        <v>0</v>
      </c>
      <c r="EL2" s="29">
        <v>999</v>
      </c>
      <c r="EM2" s="27">
        <v>0</v>
      </c>
      <c r="EN2" s="29">
        <v>1</v>
      </c>
      <c r="EO2" s="27">
        <v>999</v>
      </c>
      <c r="EP2" s="29">
        <v>1</v>
      </c>
      <c r="EQ2" s="29">
        <v>0</v>
      </c>
      <c r="ER2" s="27">
        <v>0</v>
      </c>
      <c r="ES2" s="29">
        <v>1</v>
      </c>
      <c r="ET2" s="29">
        <v>0</v>
      </c>
      <c r="EU2" s="29">
        <v>0</v>
      </c>
      <c r="EV2" s="29">
        <v>999</v>
      </c>
      <c r="EW2" s="29">
        <v>0</v>
      </c>
      <c r="EX2" s="29">
        <v>999</v>
      </c>
      <c r="EY2" s="27">
        <v>0</v>
      </c>
      <c r="EZ2" s="146">
        <v>2</v>
      </c>
      <c r="FA2" s="151">
        <v>999</v>
      </c>
      <c r="FB2">
        <v>2</v>
      </c>
      <c r="FC2">
        <v>0</v>
      </c>
      <c r="FD2">
        <v>0</v>
      </c>
      <c r="FE2">
        <v>0</v>
      </c>
      <c r="FF2" s="4">
        <v>0</v>
      </c>
      <c r="FG2">
        <v>2</v>
      </c>
      <c r="FH2">
        <v>0</v>
      </c>
      <c r="FI2">
        <v>0</v>
      </c>
      <c r="FJ2">
        <v>0</v>
      </c>
      <c r="FK2" s="4">
        <v>0</v>
      </c>
      <c r="FL2" s="4">
        <v>2</v>
      </c>
    </row>
    <row r="3" spans="1:168" s="165" customFormat="1" x14ac:dyDescent="0.3">
      <c r="A3" s="165" t="s">
        <v>303</v>
      </c>
      <c r="B3" s="170">
        <v>999</v>
      </c>
      <c r="C3" s="170">
        <v>1</v>
      </c>
      <c r="D3" s="170">
        <v>0</v>
      </c>
      <c r="E3" s="170">
        <v>0</v>
      </c>
      <c r="F3" s="170">
        <v>0</v>
      </c>
      <c r="G3" s="170">
        <v>0</v>
      </c>
      <c r="H3" s="170">
        <v>0</v>
      </c>
      <c r="I3" s="171">
        <v>1</v>
      </c>
      <c r="J3" s="171">
        <v>0.14000000000000001</v>
      </c>
      <c r="K3" s="171">
        <v>5</v>
      </c>
      <c r="L3" s="172">
        <v>214</v>
      </c>
      <c r="M3" s="172">
        <v>0</v>
      </c>
      <c r="N3" s="172">
        <v>10</v>
      </c>
      <c r="O3" s="226"/>
      <c r="P3" s="226"/>
      <c r="Q3" s="226"/>
      <c r="R3" s="225">
        <v>343</v>
      </c>
      <c r="S3" s="225">
        <v>0</v>
      </c>
      <c r="T3" s="225">
        <v>25</v>
      </c>
      <c r="U3" s="170" t="s">
        <v>305</v>
      </c>
      <c r="V3" s="170" t="s">
        <v>305</v>
      </c>
      <c r="W3" s="170" t="s">
        <v>305</v>
      </c>
      <c r="X3" s="170">
        <v>223</v>
      </c>
      <c r="Y3" s="170">
        <v>2</v>
      </c>
      <c r="Z3" s="170">
        <v>166.66666666666666</v>
      </c>
      <c r="AA3" s="170">
        <v>1</v>
      </c>
      <c r="AB3" s="173">
        <v>2</v>
      </c>
      <c r="AC3" s="173">
        <v>0</v>
      </c>
      <c r="AD3" s="173">
        <v>0</v>
      </c>
      <c r="AE3" s="173">
        <v>2</v>
      </c>
      <c r="AF3" s="173">
        <v>0</v>
      </c>
      <c r="AG3" s="173">
        <v>0</v>
      </c>
      <c r="AH3" s="174">
        <v>999</v>
      </c>
      <c r="AI3" s="174">
        <v>999</v>
      </c>
      <c r="AJ3" s="175">
        <v>999</v>
      </c>
      <c r="AK3" s="170">
        <v>1</v>
      </c>
      <c r="AL3" s="170">
        <v>999</v>
      </c>
      <c r="AM3" s="170">
        <v>999</v>
      </c>
      <c r="AN3" s="170">
        <v>999</v>
      </c>
      <c r="AO3" s="170">
        <v>999</v>
      </c>
      <c r="AP3" s="170">
        <v>999</v>
      </c>
      <c r="AQ3" s="170">
        <v>999</v>
      </c>
      <c r="AR3" s="170">
        <v>999</v>
      </c>
      <c r="AS3" s="170">
        <v>999</v>
      </c>
      <c r="AT3" s="170">
        <v>342</v>
      </c>
      <c r="AU3" s="173">
        <v>1</v>
      </c>
      <c r="AV3" s="173">
        <v>2</v>
      </c>
      <c r="AW3" s="173">
        <v>0</v>
      </c>
      <c r="AX3" s="173">
        <v>0</v>
      </c>
      <c r="AY3" s="173">
        <v>0</v>
      </c>
      <c r="AZ3" s="176">
        <v>3</v>
      </c>
      <c r="BA3" s="176">
        <v>999</v>
      </c>
      <c r="BB3" s="176">
        <v>999</v>
      </c>
      <c r="BC3" s="176">
        <v>0</v>
      </c>
      <c r="BD3" s="176">
        <v>0</v>
      </c>
      <c r="BE3" s="177">
        <v>2</v>
      </c>
      <c r="BF3" s="170">
        <v>1</v>
      </c>
      <c r="BG3" s="170">
        <v>0</v>
      </c>
      <c r="BH3" s="178">
        <v>150</v>
      </c>
      <c r="BI3" s="173">
        <v>0.01</v>
      </c>
      <c r="BJ3" s="173">
        <v>2</v>
      </c>
      <c r="BK3" s="173">
        <v>1</v>
      </c>
      <c r="BL3" s="177">
        <v>0</v>
      </c>
      <c r="BM3" s="170" t="s">
        <v>305</v>
      </c>
      <c r="BN3" s="170" t="s">
        <v>305</v>
      </c>
      <c r="BO3" s="170" t="s">
        <v>305</v>
      </c>
      <c r="BP3" s="170" t="s">
        <v>305</v>
      </c>
      <c r="BQ3" s="170" t="s">
        <v>305</v>
      </c>
      <c r="BR3" s="170" t="s">
        <v>305</v>
      </c>
      <c r="BS3" s="170">
        <v>1</v>
      </c>
      <c r="BT3" s="178">
        <v>0</v>
      </c>
      <c r="BU3" s="170">
        <v>999</v>
      </c>
      <c r="BV3" s="170" t="s">
        <v>371</v>
      </c>
      <c r="BW3" s="171">
        <v>2</v>
      </c>
      <c r="BX3" s="179">
        <v>0</v>
      </c>
      <c r="BY3" s="173">
        <v>1</v>
      </c>
      <c r="BZ3" s="173">
        <v>1</v>
      </c>
      <c r="CA3" s="177">
        <v>0</v>
      </c>
      <c r="CB3" s="173">
        <v>1</v>
      </c>
      <c r="CC3" s="173">
        <v>1</v>
      </c>
      <c r="CD3" s="173">
        <v>0</v>
      </c>
      <c r="CE3" s="173">
        <v>0</v>
      </c>
      <c r="CF3" s="173">
        <v>0</v>
      </c>
      <c r="CG3" s="173">
        <v>0</v>
      </c>
      <c r="CH3" s="177">
        <v>0</v>
      </c>
      <c r="CI3" s="177">
        <v>1</v>
      </c>
      <c r="CJ3" s="173">
        <v>2</v>
      </c>
      <c r="CK3" s="177">
        <v>0</v>
      </c>
      <c r="CL3" s="173">
        <v>2</v>
      </c>
      <c r="CM3" s="180">
        <v>2</v>
      </c>
      <c r="CN3" s="170">
        <v>1</v>
      </c>
      <c r="CO3" s="170">
        <v>2</v>
      </c>
      <c r="CP3" s="170">
        <v>0</v>
      </c>
      <c r="CQ3" s="178" t="s">
        <v>370</v>
      </c>
      <c r="CR3" s="181" t="s">
        <v>305</v>
      </c>
      <c r="CS3" s="181" t="s">
        <v>305</v>
      </c>
      <c r="CT3" s="181" t="s">
        <v>305</v>
      </c>
      <c r="CU3" s="181" t="s">
        <v>305</v>
      </c>
      <c r="CV3" s="181" t="s">
        <v>305</v>
      </c>
      <c r="CW3" s="181" t="s">
        <v>305</v>
      </c>
      <c r="CX3" s="181" t="s">
        <v>305</v>
      </c>
      <c r="CY3" s="181" t="s">
        <v>305</v>
      </c>
      <c r="CZ3" s="181" t="s">
        <v>305</v>
      </c>
      <c r="DA3" s="182" t="s">
        <v>305</v>
      </c>
      <c r="DB3" s="181" t="s">
        <v>305</v>
      </c>
      <c r="DC3" s="181" t="s">
        <v>305</v>
      </c>
      <c r="DD3" s="181" t="s">
        <v>305</v>
      </c>
      <c r="DE3" s="181" t="s">
        <v>305</v>
      </c>
      <c r="DF3" s="181" t="s">
        <v>305</v>
      </c>
      <c r="DG3" s="181" t="s">
        <v>305</v>
      </c>
      <c r="DH3" s="181" t="s">
        <v>305</v>
      </c>
      <c r="DI3" s="181" t="s">
        <v>305</v>
      </c>
      <c r="DJ3" s="181" t="s">
        <v>305</v>
      </c>
      <c r="DK3" s="182" t="s">
        <v>305</v>
      </c>
      <c r="DL3" s="181" t="s">
        <v>305</v>
      </c>
      <c r="DM3" s="181" t="s">
        <v>305</v>
      </c>
      <c r="DN3" s="181" t="s">
        <v>305</v>
      </c>
      <c r="DO3" s="181" t="s">
        <v>305</v>
      </c>
      <c r="DP3" s="181" t="s">
        <v>305</v>
      </c>
      <c r="DQ3" s="181" t="s">
        <v>305</v>
      </c>
      <c r="DR3" s="181" t="s">
        <v>305</v>
      </c>
      <c r="DS3" s="181" t="s">
        <v>305</v>
      </c>
      <c r="DT3" s="181" t="s">
        <v>305</v>
      </c>
      <c r="DU3" s="182" t="s">
        <v>305</v>
      </c>
      <c r="DV3" s="170">
        <v>1</v>
      </c>
      <c r="DW3" s="170">
        <v>0</v>
      </c>
      <c r="DX3" s="178">
        <v>0</v>
      </c>
      <c r="DY3" s="173">
        <v>1</v>
      </c>
      <c r="DZ3" s="173">
        <v>0</v>
      </c>
      <c r="EA3" s="173">
        <v>0</v>
      </c>
      <c r="EB3" s="173">
        <v>0</v>
      </c>
      <c r="EC3" s="173">
        <v>2</v>
      </c>
      <c r="ED3" s="173">
        <v>999</v>
      </c>
      <c r="EE3" s="177">
        <v>0</v>
      </c>
      <c r="EF3" s="173">
        <v>1</v>
      </c>
      <c r="EG3" s="183">
        <v>1</v>
      </c>
      <c r="EH3" s="183">
        <v>1</v>
      </c>
      <c r="EI3" s="173">
        <v>1</v>
      </c>
      <c r="EJ3" s="173">
        <v>0</v>
      </c>
      <c r="EK3" s="173">
        <v>0</v>
      </c>
      <c r="EL3" s="173">
        <v>999</v>
      </c>
      <c r="EM3" s="177">
        <v>0</v>
      </c>
      <c r="EN3" s="173">
        <v>1</v>
      </c>
      <c r="EO3" s="177">
        <v>999</v>
      </c>
      <c r="EP3" s="173">
        <v>1</v>
      </c>
      <c r="EQ3" s="173">
        <v>0</v>
      </c>
      <c r="ER3" s="177">
        <v>0</v>
      </c>
      <c r="ES3" s="173">
        <v>1</v>
      </c>
      <c r="ET3" s="173">
        <v>0</v>
      </c>
      <c r="EU3" s="173">
        <v>0</v>
      </c>
      <c r="EV3" s="173">
        <v>999</v>
      </c>
      <c r="EW3" s="173">
        <v>0</v>
      </c>
      <c r="EX3" s="173">
        <v>999</v>
      </c>
      <c r="EY3" s="177">
        <v>0</v>
      </c>
      <c r="EZ3" s="171">
        <v>2</v>
      </c>
      <c r="FA3" s="179">
        <v>999</v>
      </c>
      <c r="FB3" s="169">
        <v>2</v>
      </c>
      <c r="FC3" s="169">
        <v>0</v>
      </c>
      <c r="FD3" s="169">
        <v>0</v>
      </c>
      <c r="FE3" s="169">
        <v>0</v>
      </c>
      <c r="FF3" s="184">
        <v>0</v>
      </c>
      <c r="FG3" s="169">
        <v>2</v>
      </c>
      <c r="FH3" s="169">
        <v>0</v>
      </c>
      <c r="FI3" s="169">
        <v>0</v>
      </c>
      <c r="FJ3" s="169">
        <v>0</v>
      </c>
      <c r="FK3" s="184">
        <v>0</v>
      </c>
      <c r="FL3" s="184">
        <v>2</v>
      </c>
    </row>
    <row r="4" spans="1:168" s="206" customFormat="1" ht="15" customHeight="1" x14ac:dyDescent="0.3">
      <c r="A4" s="206" t="s">
        <v>304</v>
      </c>
      <c r="B4" s="207">
        <v>999</v>
      </c>
      <c r="C4" s="207">
        <v>1</v>
      </c>
      <c r="D4" s="207">
        <v>0</v>
      </c>
      <c r="E4" s="207">
        <v>0</v>
      </c>
      <c r="F4" s="207">
        <v>0</v>
      </c>
      <c r="G4" s="207">
        <v>0</v>
      </c>
      <c r="H4" s="207">
        <v>0</v>
      </c>
      <c r="I4" s="208">
        <v>1</v>
      </c>
      <c r="J4" s="208">
        <v>0.14000000000000001</v>
      </c>
      <c r="K4" s="208">
        <v>5</v>
      </c>
      <c r="L4" s="209">
        <v>78</v>
      </c>
      <c r="M4" s="209">
        <v>0</v>
      </c>
      <c r="N4" s="209">
        <v>20</v>
      </c>
      <c r="O4" s="207" t="s">
        <v>305</v>
      </c>
      <c r="P4" s="207" t="s">
        <v>305</v>
      </c>
      <c r="Q4" s="207" t="s">
        <v>305</v>
      </c>
      <c r="R4" s="207" t="s">
        <v>305</v>
      </c>
      <c r="S4" s="207" t="s">
        <v>305</v>
      </c>
      <c r="T4" s="207" t="s">
        <v>305</v>
      </c>
      <c r="U4" s="207" t="s">
        <v>305</v>
      </c>
      <c r="V4" s="207" t="s">
        <v>305</v>
      </c>
      <c r="W4" s="207" t="s">
        <v>305</v>
      </c>
      <c r="X4" s="207">
        <v>78</v>
      </c>
      <c r="Y4" s="207">
        <v>3</v>
      </c>
      <c r="Z4" s="207">
        <v>70</v>
      </c>
      <c r="AA4" s="207">
        <v>1</v>
      </c>
      <c r="AB4" s="210">
        <v>2</v>
      </c>
      <c r="AC4" s="210">
        <v>0</v>
      </c>
      <c r="AD4" s="210">
        <v>0</v>
      </c>
      <c r="AE4" s="210">
        <v>2</v>
      </c>
      <c r="AF4" s="210">
        <v>0</v>
      </c>
      <c r="AG4" s="210">
        <v>0</v>
      </c>
      <c r="AH4" s="211">
        <v>999</v>
      </c>
      <c r="AI4" s="211">
        <v>999</v>
      </c>
      <c r="AJ4" s="212">
        <v>999</v>
      </c>
      <c r="AK4" s="207">
        <v>1</v>
      </c>
      <c r="AL4" s="207">
        <v>999</v>
      </c>
      <c r="AM4" s="207">
        <v>999</v>
      </c>
      <c r="AN4" s="207">
        <v>999</v>
      </c>
      <c r="AO4" s="207">
        <v>999</v>
      </c>
      <c r="AP4" s="207">
        <v>999</v>
      </c>
      <c r="AQ4" s="207">
        <v>999</v>
      </c>
      <c r="AR4" s="207">
        <v>999</v>
      </c>
      <c r="AS4" s="207">
        <v>999</v>
      </c>
      <c r="AT4" s="207">
        <v>200</v>
      </c>
      <c r="AU4" s="210">
        <v>1</v>
      </c>
      <c r="AV4" s="210">
        <v>2</v>
      </c>
      <c r="AW4" s="210">
        <v>0</v>
      </c>
      <c r="AX4" s="210">
        <v>0</v>
      </c>
      <c r="AY4" s="210">
        <v>0</v>
      </c>
      <c r="AZ4" s="213">
        <v>3</v>
      </c>
      <c r="BA4" s="213">
        <v>999</v>
      </c>
      <c r="BB4" s="213">
        <v>999</v>
      </c>
      <c r="BC4" s="213">
        <v>0</v>
      </c>
      <c r="BD4" s="213">
        <v>0</v>
      </c>
      <c r="BE4" s="214">
        <v>2</v>
      </c>
      <c r="BF4" s="207">
        <v>1</v>
      </c>
      <c r="BG4" s="207">
        <v>0</v>
      </c>
      <c r="BH4" s="215">
        <v>150</v>
      </c>
      <c r="BI4" s="210">
        <v>0.01</v>
      </c>
      <c r="BJ4" s="210">
        <v>2</v>
      </c>
      <c r="BK4" s="210">
        <v>1</v>
      </c>
      <c r="BL4" s="214">
        <v>0</v>
      </c>
      <c r="BM4" s="207" t="s">
        <v>305</v>
      </c>
      <c r="BN4" s="207" t="s">
        <v>305</v>
      </c>
      <c r="BO4" s="207" t="s">
        <v>305</v>
      </c>
      <c r="BP4" s="207" t="s">
        <v>305</v>
      </c>
      <c r="BQ4" s="207" t="s">
        <v>305</v>
      </c>
      <c r="BR4" s="207" t="s">
        <v>305</v>
      </c>
      <c r="BS4" s="207">
        <v>1</v>
      </c>
      <c r="BT4" s="215">
        <v>0</v>
      </c>
      <c r="BU4" s="207">
        <v>999</v>
      </c>
      <c r="BV4" s="234" t="s">
        <v>295</v>
      </c>
      <c r="BW4" s="208">
        <v>2</v>
      </c>
      <c r="BX4" s="216">
        <v>0</v>
      </c>
      <c r="BY4" s="210">
        <v>1</v>
      </c>
      <c r="BZ4" s="210">
        <v>1</v>
      </c>
      <c r="CA4" s="214">
        <v>0</v>
      </c>
      <c r="CB4" s="210">
        <v>1</v>
      </c>
      <c r="CC4" s="210">
        <v>1</v>
      </c>
      <c r="CD4" s="210">
        <v>0</v>
      </c>
      <c r="CE4" s="210">
        <v>0</v>
      </c>
      <c r="CF4" s="210">
        <v>0</v>
      </c>
      <c r="CG4" s="210">
        <v>0</v>
      </c>
      <c r="CH4" s="214">
        <v>0</v>
      </c>
      <c r="CI4" s="214">
        <v>1</v>
      </c>
      <c r="CJ4" s="210">
        <v>2</v>
      </c>
      <c r="CK4" s="214">
        <v>0</v>
      </c>
      <c r="CL4" s="210">
        <v>2</v>
      </c>
      <c r="CM4" s="217">
        <v>2</v>
      </c>
      <c r="CN4" s="207">
        <v>1</v>
      </c>
      <c r="CO4" s="207">
        <v>2</v>
      </c>
      <c r="CP4" s="207">
        <v>0</v>
      </c>
      <c r="CQ4" s="215" t="s">
        <v>370</v>
      </c>
      <c r="CR4" s="218" t="s">
        <v>305</v>
      </c>
      <c r="CS4" s="218" t="s">
        <v>305</v>
      </c>
      <c r="CT4" s="218" t="s">
        <v>305</v>
      </c>
      <c r="CU4" s="218" t="s">
        <v>305</v>
      </c>
      <c r="CV4" s="218" t="s">
        <v>305</v>
      </c>
      <c r="CW4" s="218" t="s">
        <v>305</v>
      </c>
      <c r="CX4" s="218" t="s">
        <v>305</v>
      </c>
      <c r="CY4" s="218" t="s">
        <v>305</v>
      </c>
      <c r="CZ4" s="218" t="s">
        <v>305</v>
      </c>
      <c r="DA4" s="219" t="s">
        <v>305</v>
      </c>
      <c r="DB4" s="218" t="s">
        <v>305</v>
      </c>
      <c r="DC4" s="218" t="s">
        <v>305</v>
      </c>
      <c r="DD4" s="218" t="s">
        <v>305</v>
      </c>
      <c r="DE4" s="218" t="s">
        <v>305</v>
      </c>
      <c r="DF4" s="218" t="s">
        <v>305</v>
      </c>
      <c r="DG4" s="218" t="s">
        <v>305</v>
      </c>
      <c r="DH4" s="218" t="s">
        <v>305</v>
      </c>
      <c r="DI4" s="218" t="s">
        <v>305</v>
      </c>
      <c r="DJ4" s="218" t="s">
        <v>305</v>
      </c>
      <c r="DK4" s="219" t="s">
        <v>305</v>
      </c>
      <c r="DL4" s="218" t="s">
        <v>305</v>
      </c>
      <c r="DM4" s="218" t="s">
        <v>305</v>
      </c>
      <c r="DN4" s="218" t="s">
        <v>305</v>
      </c>
      <c r="DO4" s="218" t="s">
        <v>305</v>
      </c>
      <c r="DP4" s="218" t="s">
        <v>305</v>
      </c>
      <c r="DQ4" s="218" t="s">
        <v>305</v>
      </c>
      <c r="DR4" s="218" t="s">
        <v>305</v>
      </c>
      <c r="DS4" s="218" t="s">
        <v>305</v>
      </c>
      <c r="DT4" s="218" t="s">
        <v>305</v>
      </c>
      <c r="DU4" s="219" t="s">
        <v>305</v>
      </c>
      <c r="DV4" s="207">
        <v>1</v>
      </c>
      <c r="DW4" s="207">
        <v>0</v>
      </c>
      <c r="DX4" s="215">
        <v>0</v>
      </c>
      <c r="DY4" s="210">
        <v>1</v>
      </c>
      <c r="DZ4" s="210">
        <v>0</v>
      </c>
      <c r="EA4" s="210">
        <v>0</v>
      </c>
      <c r="EB4" s="210">
        <v>0</v>
      </c>
      <c r="EC4" s="210">
        <v>2</v>
      </c>
      <c r="ED4" s="210">
        <v>999</v>
      </c>
      <c r="EE4" s="214">
        <v>0</v>
      </c>
      <c r="EF4" s="210">
        <v>1</v>
      </c>
      <c r="EG4" s="220">
        <v>1</v>
      </c>
      <c r="EH4" s="220">
        <v>1</v>
      </c>
      <c r="EI4" s="210">
        <v>1</v>
      </c>
      <c r="EJ4" s="210">
        <v>0</v>
      </c>
      <c r="EK4" s="210">
        <v>0</v>
      </c>
      <c r="EL4" s="210">
        <v>999</v>
      </c>
      <c r="EM4" s="214">
        <v>0</v>
      </c>
      <c r="EN4" s="210">
        <v>1</v>
      </c>
      <c r="EO4" s="214">
        <v>999</v>
      </c>
      <c r="EP4" s="210">
        <v>1</v>
      </c>
      <c r="EQ4" s="210">
        <v>0</v>
      </c>
      <c r="ER4" s="214">
        <v>0</v>
      </c>
      <c r="ES4" s="210">
        <v>1</v>
      </c>
      <c r="ET4" s="210">
        <v>0</v>
      </c>
      <c r="EU4" s="210">
        <v>0</v>
      </c>
      <c r="EV4" s="210">
        <v>999</v>
      </c>
      <c r="EW4" s="210">
        <v>0</v>
      </c>
      <c r="EX4" s="210">
        <v>999</v>
      </c>
      <c r="EY4" s="214">
        <v>0</v>
      </c>
      <c r="EZ4" s="208">
        <v>2</v>
      </c>
      <c r="FA4" s="216">
        <v>999</v>
      </c>
      <c r="FB4" s="221">
        <v>2</v>
      </c>
      <c r="FC4" s="221">
        <v>0</v>
      </c>
      <c r="FD4" s="221">
        <v>0</v>
      </c>
      <c r="FE4" s="221">
        <v>0</v>
      </c>
      <c r="FF4" s="222">
        <v>0</v>
      </c>
      <c r="FG4" s="221">
        <v>2</v>
      </c>
      <c r="FH4" s="221">
        <v>0</v>
      </c>
      <c r="FI4" s="221">
        <v>0</v>
      </c>
      <c r="FJ4" s="221">
        <v>0</v>
      </c>
      <c r="FK4" s="222">
        <v>0</v>
      </c>
      <c r="FL4" s="222">
        <v>2</v>
      </c>
    </row>
    <row r="5" spans="1:168" s="206" customFormat="1" ht="15" customHeight="1" x14ac:dyDescent="0.3">
      <c r="A5" s="206" t="s">
        <v>307</v>
      </c>
      <c r="B5" s="207">
        <v>999</v>
      </c>
      <c r="C5" s="207">
        <v>1</v>
      </c>
      <c r="D5" s="207">
        <v>0</v>
      </c>
      <c r="E5" s="207">
        <v>0</v>
      </c>
      <c r="F5" s="207">
        <v>0</v>
      </c>
      <c r="G5" s="207">
        <v>0</v>
      </c>
      <c r="H5" s="207">
        <v>0</v>
      </c>
      <c r="I5" s="208">
        <v>1</v>
      </c>
      <c r="J5" s="208">
        <v>0.14000000000000001</v>
      </c>
      <c r="K5" s="208">
        <v>5</v>
      </c>
      <c r="L5" s="223">
        <v>218</v>
      </c>
      <c r="M5" s="223">
        <v>0</v>
      </c>
      <c r="N5" s="223">
        <v>7</v>
      </c>
      <c r="O5" s="223">
        <v>259</v>
      </c>
      <c r="P5" s="223">
        <v>0</v>
      </c>
      <c r="Q5" s="223">
        <v>7</v>
      </c>
      <c r="R5" s="209">
        <v>294</v>
      </c>
      <c r="S5" s="209">
        <v>0</v>
      </c>
      <c r="T5" s="209">
        <v>7</v>
      </c>
      <c r="U5" s="207" t="s">
        <v>305</v>
      </c>
      <c r="V5" s="207" t="s">
        <v>305</v>
      </c>
      <c r="W5" s="207" t="s">
        <v>305</v>
      </c>
      <c r="X5" s="207">
        <v>294</v>
      </c>
      <c r="Y5" s="207">
        <v>2.5</v>
      </c>
      <c r="Z5" s="207">
        <v>200</v>
      </c>
      <c r="AA5" s="207">
        <v>9</v>
      </c>
      <c r="AB5" s="210">
        <v>2</v>
      </c>
      <c r="AC5" s="210">
        <v>0</v>
      </c>
      <c r="AD5" s="210">
        <v>0</v>
      </c>
      <c r="AE5" s="210">
        <v>2</v>
      </c>
      <c r="AF5" s="210">
        <v>0</v>
      </c>
      <c r="AG5" s="210">
        <v>0</v>
      </c>
      <c r="AH5" s="211">
        <v>999</v>
      </c>
      <c r="AI5" s="211">
        <v>999</v>
      </c>
      <c r="AJ5" s="212">
        <v>999</v>
      </c>
      <c r="AK5" s="207">
        <v>1</v>
      </c>
      <c r="AL5" s="207">
        <v>999</v>
      </c>
      <c r="AM5" s="207">
        <v>999</v>
      </c>
      <c r="AN5" s="207">
        <v>999</v>
      </c>
      <c r="AO5" s="207">
        <v>999</v>
      </c>
      <c r="AP5" s="207">
        <v>999</v>
      </c>
      <c r="AQ5" s="207">
        <v>999</v>
      </c>
      <c r="AR5" s="207">
        <v>999</v>
      </c>
      <c r="AS5" s="207">
        <v>999</v>
      </c>
      <c r="AT5" s="207">
        <v>578</v>
      </c>
      <c r="AU5" s="210">
        <v>1</v>
      </c>
      <c r="AV5" s="210">
        <v>2</v>
      </c>
      <c r="AW5" s="210">
        <v>0</v>
      </c>
      <c r="AX5" s="210">
        <v>0</v>
      </c>
      <c r="AY5" s="210">
        <v>0</v>
      </c>
      <c r="AZ5" s="213">
        <v>3</v>
      </c>
      <c r="BA5" s="213">
        <v>999</v>
      </c>
      <c r="BB5" s="213">
        <v>999</v>
      </c>
      <c r="BC5" s="213">
        <v>0</v>
      </c>
      <c r="BD5" s="213">
        <v>0</v>
      </c>
      <c r="BE5" s="214">
        <v>2</v>
      </c>
      <c r="BF5" s="207">
        <v>1</v>
      </c>
      <c r="BG5" s="207">
        <v>0</v>
      </c>
      <c r="BH5" s="215">
        <v>150</v>
      </c>
      <c r="BI5" s="210">
        <v>0.01</v>
      </c>
      <c r="BJ5" s="210">
        <v>2</v>
      </c>
      <c r="BK5" s="210">
        <v>1</v>
      </c>
      <c r="BL5" s="214">
        <v>0</v>
      </c>
      <c r="BM5" s="207">
        <v>453</v>
      </c>
      <c r="BN5" s="207">
        <v>110</v>
      </c>
      <c r="BO5" s="207">
        <v>2</v>
      </c>
      <c r="BP5" s="207">
        <v>489</v>
      </c>
      <c r="BQ5" s="207">
        <v>46</v>
      </c>
      <c r="BR5" s="207">
        <v>2</v>
      </c>
      <c r="BS5" s="207">
        <v>1</v>
      </c>
      <c r="BT5" s="215">
        <v>0</v>
      </c>
      <c r="BU5" s="207">
        <v>999</v>
      </c>
      <c r="BV5" s="234" t="s">
        <v>295</v>
      </c>
      <c r="BW5" s="208">
        <v>2</v>
      </c>
      <c r="BX5" s="216">
        <v>0</v>
      </c>
      <c r="BY5" s="210">
        <v>1</v>
      </c>
      <c r="BZ5" s="210">
        <v>1</v>
      </c>
      <c r="CA5" s="214">
        <v>0</v>
      </c>
      <c r="CB5" s="210">
        <v>1</v>
      </c>
      <c r="CC5" s="210">
        <v>1</v>
      </c>
      <c r="CD5" s="210">
        <v>0</v>
      </c>
      <c r="CE5" s="210">
        <v>0</v>
      </c>
      <c r="CF5" s="210">
        <v>0</v>
      </c>
      <c r="CG5" s="210">
        <v>0</v>
      </c>
      <c r="CH5" s="214">
        <v>0</v>
      </c>
      <c r="CI5" s="214">
        <v>1</v>
      </c>
      <c r="CJ5" s="210">
        <v>2</v>
      </c>
      <c r="CK5" s="214">
        <v>0</v>
      </c>
      <c r="CL5" s="210">
        <v>2</v>
      </c>
      <c r="CM5" s="217">
        <v>2</v>
      </c>
      <c r="CN5" s="207">
        <v>1</v>
      </c>
      <c r="CO5" s="207">
        <v>2</v>
      </c>
      <c r="CP5" s="207">
        <v>0</v>
      </c>
      <c r="CQ5" s="215" t="s">
        <v>370</v>
      </c>
      <c r="CR5" s="218" t="s">
        <v>305</v>
      </c>
      <c r="CS5" s="218" t="s">
        <v>305</v>
      </c>
      <c r="CT5" s="218" t="s">
        <v>305</v>
      </c>
      <c r="CU5" s="218" t="s">
        <v>305</v>
      </c>
      <c r="CV5" s="218" t="s">
        <v>305</v>
      </c>
      <c r="CW5" s="218" t="s">
        <v>305</v>
      </c>
      <c r="CX5" s="218" t="s">
        <v>305</v>
      </c>
      <c r="CY5" s="218" t="s">
        <v>305</v>
      </c>
      <c r="CZ5" s="218" t="s">
        <v>305</v>
      </c>
      <c r="DA5" s="219" t="s">
        <v>305</v>
      </c>
      <c r="DB5" s="218" t="s">
        <v>305</v>
      </c>
      <c r="DC5" s="218" t="s">
        <v>305</v>
      </c>
      <c r="DD5" s="218" t="s">
        <v>305</v>
      </c>
      <c r="DE5" s="218" t="s">
        <v>305</v>
      </c>
      <c r="DF5" s="218" t="s">
        <v>305</v>
      </c>
      <c r="DG5" s="218" t="s">
        <v>305</v>
      </c>
      <c r="DH5" s="218" t="s">
        <v>305</v>
      </c>
      <c r="DI5" s="218" t="s">
        <v>305</v>
      </c>
      <c r="DJ5" s="218" t="s">
        <v>305</v>
      </c>
      <c r="DK5" s="219" t="s">
        <v>305</v>
      </c>
      <c r="DL5" s="218" t="s">
        <v>305</v>
      </c>
      <c r="DM5" s="218" t="s">
        <v>305</v>
      </c>
      <c r="DN5" s="218" t="s">
        <v>305</v>
      </c>
      <c r="DO5" s="218" t="s">
        <v>305</v>
      </c>
      <c r="DP5" s="218" t="s">
        <v>305</v>
      </c>
      <c r="DQ5" s="218" t="s">
        <v>305</v>
      </c>
      <c r="DR5" s="218" t="s">
        <v>305</v>
      </c>
      <c r="DS5" s="218" t="s">
        <v>305</v>
      </c>
      <c r="DT5" s="218" t="s">
        <v>305</v>
      </c>
      <c r="DU5" s="219" t="s">
        <v>305</v>
      </c>
      <c r="DV5" s="207">
        <v>1</v>
      </c>
      <c r="DW5" s="207">
        <v>0</v>
      </c>
      <c r="DX5" s="215">
        <v>0</v>
      </c>
      <c r="DY5" s="210">
        <v>1</v>
      </c>
      <c r="DZ5" s="210">
        <v>0</v>
      </c>
      <c r="EA5" s="210">
        <v>0</v>
      </c>
      <c r="EB5" s="210">
        <v>0</v>
      </c>
      <c r="EC5" s="210">
        <v>2</v>
      </c>
      <c r="ED5" s="210">
        <v>999</v>
      </c>
      <c r="EE5" s="214">
        <v>0</v>
      </c>
      <c r="EF5" s="210">
        <v>1</v>
      </c>
      <c r="EG5" s="220">
        <v>1</v>
      </c>
      <c r="EH5" s="220">
        <v>1</v>
      </c>
      <c r="EI5" s="210">
        <v>1</v>
      </c>
      <c r="EJ5" s="210">
        <v>0</v>
      </c>
      <c r="EK5" s="210">
        <v>0</v>
      </c>
      <c r="EL5" s="210">
        <v>999</v>
      </c>
      <c r="EM5" s="214">
        <v>0</v>
      </c>
      <c r="EN5" s="210">
        <v>1</v>
      </c>
      <c r="EO5" s="214">
        <v>999</v>
      </c>
      <c r="EP5" s="210">
        <v>1</v>
      </c>
      <c r="EQ5" s="210">
        <v>0</v>
      </c>
      <c r="ER5" s="214">
        <v>0</v>
      </c>
      <c r="ES5" s="210">
        <v>1</v>
      </c>
      <c r="ET5" s="210">
        <v>0</v>
      </c>
      <c r="EU5" s="210">
        <v>0</v>
      </c>
      <c r="EV5" s="210">
        <v>999</v>
      </c>
      <c r="EW5" s="210">
        <v>0</v>
      </c>
      <c r="EX5" s="210">
        <v>999</v>
      </c>
      <c r="EY5" s="214">
        <v>0</v>
      </c>
      <c r="EZ5" s="208">
        <v>2</v>
      </c>
      <c r="FA5" s="216">
        <v>999</v>
      </c>
      <c r="FB5" s="221">
        <v>2</v>
      </c>
      <c r="FC5" s="221">
        <v>0</v>
      </c>
      <c r="FD5" s="221">
        <v>0</v>
      </c>
      <c r="FE5" s="221">
        <v>0</v>
      </c>
      <c r="FF5" s="222">
        <v>0</v>
      </c>
      <c r="FG5" s="221">
        <v>2</v>
      </c>
      <c r="FH5" s="221">
        <v>0</v>
      </c>
      <c r="FI5" s="221">
        <v>0</v>
      </c>
      <c r="FJ5" s="221">
        <v>0</v>
      </c>
      <c r="FK5" s="222">
        <v>0</v>
      </c>
      <c r="FL5" s="222">
        <v>2</v>
      </c>
    </row>
    <row r="6" spans="1:168" s="31" customFormat="1" ht="15" customHeight="1" x14ac:dyDescent="0.3">
      <c r="A6" s="31" t="s">
        <v>309</v>
      </c>
      <c r="B6" s="129">
        <v>999</v>
      </c>
      <c r="C6" s="129">
        <v>1</v>
      </c>
      <c r="D6" s="129">
        <v>0</v>
      </c>
      <c r="E6" s="129">
        <v>0</v>
      </c>
      <c r="F6" s="129">
        <v>0</v>
      </c>
      <c r="G6" s="129">
        <v>0</v>
      </c>
      <c r="H6" s="129">
        <v>0</v>
      </c>
      <c r="I6" s="146">
        <v>1</v>
      </c>
      <c r="J6" s="146">
        <v>0.14000000000000001</v>
      </c>
      <c r="K6" s="146">
        <v>5</v>
      </c>
      <c r="L6" s="158">
        <v>222</v>
      </c>
      <c r="M6" s="158">
        <v>0</v>
      </c>
      <c r="N6" s="158">
        <v>7</v>
      </c>
      <c r="O6" s="157">
        <v>243</v>
      </c>
      <c r="P6" s="157">
        <v>0</v>
      </c>
      <c r="Q6" s="157">
        <v>7</v>
      </c>
      <c r="R6" s="129" t="s">
        <v>305</v>
      </c>
      <c r="S6" s="129" t="s">
        <v>305</v>
      </c>
      <c r="T6" s="129" t="s">
        <v>305</v>
      </c>
      <c r="U6" s="129" t="s">
        <v>305</v>
      </c>
      <c r="V6" s="129" t="s">
        <v>305</v>
      </c>
      <c r="W6" s="129" t="s">
        <v>305</v>
      </c>
      <c r="X6" s="129">
        <v>244</v>
      </c>
      <c r="Y6" s="129">
        <v>2</v>
      </c>
      <c r="Z6" s="129">
        <v>35</v>
      </c>
      <c r="AA6" s="129">
        <v>3</v>
      </c>
      <c r="AB6" s="29">
        <v>2</v>
      </c>
      <c r="AC6" s="29">
        <v>0</v>
      </c>
      <c r="AD6" s="29">
        <v>0</v>
      </c>
      <c r="AE6" s="29">
        <v>2</v>
      </c>
      <c r="AF6" s="29">
        <v>0</v>
      </c>
      <c r="AG6" s="29">
        <v>0</v>
      </c>
      <c r="AH6" s="147">
        <v>999</v>
      </c>
      <c r="AI6" s="147">
        <v>999</v>
      </c>
      <c r="AJ6" s="148">
        <v>999</v>
      </c>
      <c r="AK6" s="129">
        <v>1</v>
      </c>
      <c r="AL6" s="129">
        <v>999</v>
      </c>
      <c r="AM6" s="129">
        <v>999</v>
      </c>
      <c r="AN6" s="129">
        <v>999</v>
      </c>
      <c r="AO6" s="129">
        <v>999</v>
      </c>
      <c r="AP6" s="129">
        <v>999</v>
      </c>
      <c r="AQ6" s="129">
        <v>999</v>
      </c>
      <c r="AR6" s="129">
        <v>999</v>
      </c>
      <c r="AS6" s="129">
        <v>999</v>
      </c>
      <c r="AT6" s="129">
        <v>572</v>
      </c>
      <c r="AU6" s="29">
        <v>1</v>
      </c>
      <c r="AV6" s="29">
        <v>2</v>
      </c>
      <c r="AW6" s="29">
        <v>0</v>
      </c>
      <c r="AX6" s="29">
        <v>0</v>
      </c>
      <c r="AY6" s="29">
        <v>0</v>
      </c>
      <c r="AZ6" s="149">
        <v>3</v>
      </c>
      <c r="BA6" s="149">
        <v>999</v>
      </c>
      <c r="BB6" s="149">
        <v>999</v>
      </c>
      <c r="BC6" s="149">
        <v>0</v>
      </c>
      <c r="BD6" s="149">
        <v>0</v>
      </c>
      <c r="BE6" s="27">
        <v>2</v>
      </c>
      <c r="BF6" s="129">
        <v>1</v>
      </c>
      <c r="BG6" s="129">
        <v>0</v>
      </c>
      <c r="BH6" s="150">
        <v>150</v>
      </c>
      <c r="BI6" s="29">
        <v>0.01</v>
      </c>
      <c r="BJ6" s="29">
        <v>2</v>
      </c>
      <c r="BK6" s="29">
        <v>1</v>
      </c>
      <c r="BL6" s="27">
        <v>0</v>
      </c>
      <c r="BM6" s="129">
        <v>439</v>
      </c>
      <c r="BN6" s="129">
        <v>40</v>
      </c>
      <c r="BO6" s="129">
        <v>2</v>
      </c>
      <c r="BP6" s="129">
        <v>454</v>
      </c>
      <c r="BQ6" s="129">
        <v>40</v>
      </c>
      <c r="BR6" s="129">
        <v>2</v>
      </c>
      <c r="BS6" s="129">
        <v>1</v>
      </c>
      <c r="BT6" s="150">
        <v>0</v>
      </c>
      <c r="BU6" s="129">
        <v>999</v>
      </c>
      <c r="BV6" s="129" t="s">
        <v>369</v>
      </c>
      <c r="BW6" s="146">
        <v>2</v>
      </c>
      <c r="BX6" s="151">
        <v>0</v>
      </c>
      <c r="BY6" s="29">
        <v>1</v>
      </c>
      <c r="BZ6" s="29">
        <v>1</v>
      </c>
      <c r="CA6" s="27">
        <v>0</v>
      </c>
      <c r="CB6" s="29">
        <v>1</v>
      </c>
      <c r="CC6" s="29">
        <v>1</v>
      </c>
      <c r="CD6" s="29">
        <v>0</v>
      </c>
      <c r="CE6" s="29">
        <v>0</v>
      </c>
      <c r="CF6" s="29">
        <v>0</v>
      </c>
      <c r="CG6" s="29">
        <v>0</v>
      </c>
      <c r="CH6" s="27">
        <v>0</v>
      </c>
      <c r="CI6" s="27">
        <v>1</v>
      </c>
      <c r="CJ6" s="29">
        <v>2</v>
      </c>
      <c r="CK6" s="27">
        <v>0</v>
      </c>
      <c r="CL6" s="29">
        <v>2</v>
      </c>
      <c r="CM6" s="152">
        <v>2</v>
      </c>
      <c r="CN6" s="129">
        <v>1</v>
      </c>
      <c r="CO6" s="129">
        <v>2</v>
      </c>
      <c r="CP6" s="129">
        <v>0</v>
      </c>
      <c r="CQ6" s="150" t="s">
        <v>370</v>
      </c>
      <c r="CR6" s="153" t="s">
        <v>305</v>
      </c>
      <c r="CS6" s="153" t="s">
        <v>305</v>
      </c>
      <c r="CT6" s="153" t="s">
        <v>305</v>
      </c>
      <c r="CU6" s="153" t="s">
        <v>305</v>
      </c>
      <c r="CV6" s="153" t="s">
        <v>305</v>
      </c>
      <c r="CW6" s="153" t="s">
        <v>305</v>
      </c>
      <c r="CX6" s="153" t="s">
        <v>305</v>
      </c>
      <c r="CY6" s="153" t="s">
        <v>305</v>
      </c>
      <c r="CZ6" s="153" t="s">
        <v>305</v>
      </c>
      <c r="DA6" s="154" t="s">
        <v>305</v>
      </c>
      <c r="DB6" s="153" t="s">
        <v>305</v>
      </c>
      <c r="DC6" s="153" t="s">
        <v>305</v>
      </c>
      <c r="DD6" s="153" t="s">
        <v>305</v>
      </c>
      <c r="DE6" s="153" t="s">
        <v>305</v>
      </c>
      <c r="DF6" s="153" t="s">
        <v>305</v>
      </c>
      <c r="DG6" s="153" t="s">
        <v>305</v>
      </c>
      <c r="DH6" s="153" t="s">
        <v>305</v>
      </c>
      <c r="DI6" s="153" t="s">
        <v>305</v>
      </c>
      <c r="DJ6" s="153" t="s">
        <v>305</v>
      </c>
      <c r="DK6" s="154" t="s">
        <v>305</v>
      </c>
      <c r="DL6" s="153" t="s">
        <v>305</v>
      </c>
      <c r="DM6" s="153" t="s">
        <v>305</v>
      </c>
      <c r="DN6" s="153" t="s">
        <v>305</v>
      </c>
      <c r="DO6" s="153" t="s">
        <v>305</v>
      </c>
      <c r="DP6" s="153" t="s">
        <v>305</v>
      </c>
      <c r="DQ6" s="153" t="s">
        <v>305</v>
      </c>
      <c r="DR6" s="153" t="s">
        <v>305</v>
      </c>
      <c r="DS6" s="153" t="s">
        <v>305</v>
      </c>
      <c r="DT6" s="153" t="s">
        <v>305</v>
      </c>
      <c r="DU6" s="154" t="s">
        <v>305</v>
      </c>
      <c r="DV6" s="129">
        <v>1</v>
      </c>
      <c r="DW6" s="129">
        <v>0</v>
      </c>
      <c r="DX6" s="150">
        <v>0</v>
      </c>
      <c r="DY6" s="29">
        <v>1</v>
      </c>
      <c r="DZ6" s="29">
        <v>0</v>
      </c>
      <c r="EA6" s="29">
        <v>0</v>
      </c>
      <c r="EB6" s="29">
        <v>0</v>
      </c>
      <c r="EC6" s="29">
        <v>2</v>
      </c>
      <c r="ED6" s="29">
        <v>999</v>
      </c>
      <c r="EE6" s="27">
        <v>0</v>
      </c>
      <c r="EF6" s="29">
        <v>1</v>
      </c>
      <c r="EG6" s="28">
        <v>1</v>
      </c>
      <c r="EH6" s="28">
        <v>1</v>
      </c>
      <c r="EI6" s="29">
        <v>1</v>
      </c>
      <c r="EJ6" s="29">
        <v>0</v>
      </c>
      <c r="EK6" s="29">
        <v>0</v>
      </c>
      <c r="EL6" s="29">
        <v>999</v>
      </c>
      <c r="EM6" s="27">
        <v>0</v>
      </c>
      <c r="EN6" s="29">
        <v>1</v>
      </c>
      <c r="EO6" s="27">
        <v>999</v>
      </c>
      <c r="EP6" s="29">
        <v>1</v>
      </c>
      <c r="EQ6" s="29">
        <v>0</v>
      </c>
      <c r="ER6" s="27">
        <v>0</v>
      </c>
      <c r="ES6" s="29">
        <v>1</v>
      </c>
      <c r="ET6" s="29">
        <v>0</v>
      </c>
      <c r="EU6" s="29">
        <v>0</v>
      </c>
      <c r="EV6" s="29">
        <v>999</v>
      </c>
      <c r="EW6" s="29">
        <v>0</v>
      </c>
      <c r="EX6" s="29">
        <v>999</v>
      </c>
      <c r="EY6" s="27">
        <v>0</v>
      </c>
      <c r="EZ6" s="146">
        <v>2</v>
      </c>
      <c r="FA6" s="151">
        <v>999</v>
      </c>
      <c r="FB6">
        <v>2</v>
      </c>
      <c r="FC6">
        <v>0</v>
      </c>
      <c r="FD6">
        <v>0</v>
      </c>
      <c r="FE6">
        <v>0</v>
      </c>
      <c r="FF6" s="4">
        <v>0</v>
      </c>
      <c r="FG6">
        <v>2</v>
      </c>
      <c r="FH6">
        <v>0</v>
      </c>
      <c r="FI6">
        <v>0</v>
      </c>
      <c r="FJ6">
        <v>0</v>
      </c>
      <c r="FK6" s="4">
        <v>0</v>
      </c>
      <c r="FL6" s="4">
        <v>2</v>
      </c>
    </row>
    <row r="7" spans="1:168" s="165" customFormat="1" ht="15" customHeight="1" x14ac:dyDescent="0.3">
      <c r="A7" s="165" t="s">
        <v>311</v>
      </c>
      <c r="B7" s="170">
        <v>999</v>
      </c>
      <c r="C7" s="170">
        <v>1</v>
      </c>
      <c r="D7" s="170">
        <v>0</v>
      </c>
      <c r="E7" s="170">
        <v>0</v>
      </c>
      <c r="F7" s="170">
        <v>0</v>
      </c>
      <c r="G7" s="170">
        <v>0</v>
      </c>
      <c r="H7" s="170">
        <v>0</v>
      </c>
      <c r="I7" s="171">
        <v>1</v>
      </c>
      <c r="J7" s="171">
        <v>0.14000000000000001</v>
      </c>
      <c r="K7" s="171">
        <v>5</v>
      </c>
      <c r="L7" s="172">
        <v>219</v>
      </c>
      <c r="M7" s="172">
        <v>0</v>
      </c>
      <c r="N7" s="172">
        <v>8</v>
      </c>
      <c r="O7" s="226"/>
      <c r="P7" s="226"/>
      <c r="Q7" s="226"/>
      <c r="R7" s="225">
        <v>348</v>
      </c>
      <c r="S7" s="225">
        <v>0</v>
      </c>
      <c r="T7" s="225">
        <v>20</v>
      </c>
      <c r="U7" s="170" t="s">
        <v>305</v>
      </c>
      <c r="V7" s="170" t="s">
        <v>305</v>
      </c>
      <c r="W7" s="170" t="s">
        <v>305</v>
      </c>
      <c r="X7" s="170">
        <v>220</v>
      </c>
      <c r="Y7" s="170">
        <v>1.5</v>
      </c>
      <c r="Z7" s="170">
        <v>473.18611987381706</v>
      </c>
      <c r="AA7" s="170">
        <v>1</v>
      </c>
      <c r="AB7" s="173">
        <v>2</v>
      </c>
      <c r="AC7" s="173">
        <v>0</v>
      </c>
      <c r="AD7" s="173">
        <v>0</v>
      </c>
      <c r="AE7" s="173">
        <v>2</v>
      </c>
      <c r="AF7" s="173">
        <v>0</v>
      </c>
      <c r="AG7" s="173">
        <v>0</v>
      </c>
      <c r="AH7" s="174">
        <v>999</v>
      </c>
      <c r="AI7" s="174">
        <v>999</v>
      </c>
      <c r="AJ7" s="175">
        <v>999</v>
      </c>
      <c r="AK7" s="170">
        <v>1</v>
      </c>
      <c r="AL7" s="170">
        <v>999</v>
      </c>
      <c r="AM7" s="170">
        <v>999</v>
      </c>
      <c r="AN7" s="170">
        <v>999</v>
      </c>
      <c r="AO7" s="170">
        <v>999</v>
      </c>
      <c r="AP7" s="170">
        <v>999</v>
      </c>
      <c r="AQ7" s="170">
        <v>999</v>
      </c>
      <c r="AR7" s="170">
        <v>999</v>
      </c>
      <c r="AS7" s="170">
        <v>999</v>
      </c>
      <c r="AT7" s="170">
        <v>347</v>
      </c>
      <c r="AU7" s="173">
        <v>1</v>
      </c>
      <c r="AV7" s="173">
        <v>2</v>
      </c>
      <c r="AW7" s="173">
        <v>0</v>
      </c>
      <c r="AX7" s="173">
        <v>0</v>
      </c>
      <c r="AY7" s="173">
        <v>0</v>
      </c>
      <c r="AZ7" s="176">
        <v>3</v>
      </c>
      <c r="BA7" s="176">
        <v>999</v>
      </c>
      <c r="BB7" s="176">
        <v>999</v>
      </c>
      <c r="BC7" s="176">
        <v>0</v>
      </c>
      <c r="BD7" s="176">
        <v>0</v>
      </c>
      <c r="BE7" s="177">
        <v>2</v>
      </c>
      <c r="BF7" s="170">
        <v>1</v>
      </c>
      <c r="BG7" s="170">
        <v>0</v>
      </c>
      <c r="BH7" s="178">
        <v>150</v>
      </c>
      <c r="BI7" s="173">
        <v>0.01</v>
      </c>
      <c r="BJ7" s="173">
        <v>2</v>
      </c>
      <c r="BK7" s="173">
        <v>1</v>
      </c>
      <c r="BL7" s="177">
        <v>0</v>
      </c>
      <c r="BM7" s="170" t="s">
        <v>305</v>
      </c>
      <c r="BN7" s="170" t="s">
        <v>305</v>
      </c>
      <c r="BO7" s="170" t="s">
        <v>305</v>
      </c>
      <c r="BP7" s="170" t="s">
        <v>305</v>
      </c>
      <c r="BQ7" s="170" t="s">
        <v>305</v>
      </c>
      <c r="BR7" s="170" t="s">
        <v>305</v>
      </c>
      <c r="BS7" s="170">
        <v>1</v>
      </c>
      <c r="BT7" s="178">
        <v>0</v>
      </c>
      <c r="BU7" s="170">
        <v>999</v>
      </c>
      <c r="BV7" s="170" t="s">
        <v>371</v>
      </c>
      <c r="BW7" s="171">
        <v>2</v>
      </c>
      <c r="BX7" s="179">
        <v>0</v>
      </c>
      <c r="BY7" s="173">
        <v>1</v>
      </c>
      <c r="BZ7" s="173">
        <v>1</v>
      </c>
      <c r="CA7" s="177">
        <v>0</v>
      </c>
      <c r="CB7" s="173">
        <v>1</v>
      </c>
      <c r="CC7" s="173">
        <v>1</v>
      </c>
      <c r="CD7" s="173">
        <v>0</v>
      </c>
      <c r="CE7" s="173">
        <v>0</v>
      </c>
      <c r="CF7" s="173">
        <v>0</v>
      </c>
      <c r="CG7" s="173">
        <v>0</v>
      </c>
      <c r="CH7" s="177">
        <v>0</v>
      </c>
      <c r="CI7" s="177">
        <v>1</v>
      </c>
      <c r="CJ7" s="173">
        <v>2</v>
      </c>
      <c r="CK7" s="177">
        <v>0</v>
      </c>
      <c r="CL7" s="173">
        <v>2</v>
      </c>
      <c r="CM7" s="180">
        <v>2</v>
      </c>
      <c r="CN7" s="170">
        <v>1</v>
      </c>
      <c r="CO7" s="170">
        <v>2</v>
      </c>
      <c r="CP7" s="170">
        <v>0</v>
      </c>
      <c r="CQ7" s="178" t="s">
        <v>370</v>
      </c>
      <c r="CR7" s="181" t="s">
        <v>305</v>
      </c>
      <c r="CS7" s="181" t="s">
        <v>305</v>
      </c>
      <c r="CT7" s="181" t="s">
        <v>305</v>
      </c>
      <c r="CU7" s="181" t="s">
        <v>305</v>
      </c>
      <c r="CV7" s="181" t="s">
        <v>305</v>
      </c>
      <c r="CW7" s="181" t="s">
        <v>305</v>
      </c>
      <c r="CX7" s="181" t="s">
        <v>305</v>
      </c>
      <c r="CY7" s="181" t="s">
        <v>305</v>
      </c>
      <c r="CZ7" s="181" t="s">
        <v>305</v>
      </c>
      <c r="DA7" s="182" t="s">
        <v>305</v>
      </c>
      <c r="DB7" s="181" t="s">
        <v>305</v>
      </c>
      <c r="DC7" s="181" t="s">
        <v>305</v>
      </c>
      <c r="DD7" s="181" t="s">
        <v>305</v>
      </c>
      <c r="DE7" s="181" t="s">
        <v>305</v>
      </c>
      <c r="DF7" s="181" t="s">
        <v>305</v>
      </c>
      <c r="DG7" s="181" t="s">
        <v>305</v>
      </c>
      <c r="DH7" s="181" t="s">
        <v>305</v>
      </c>
      <c r="DI7" s="181" t="s">
        <v>305</v>
      </c>
      <c r="DJ7" s="181" t="s">
        <v>305</v>
      </c>
      <c r="DK7" s="182" t="s">
        <v>305</v>
      </c>
      <c r="DL7" s="181" t="s">
        <v>305</v>
      </c>
      <c r="DM7" s="181" t="s">
        <v>305</v>
      </c>
      <c r="DN7" s="181" t="s">
        <v>305</v>
      </c>
      <c r="DO7" s="181" t="s">
        <v>305</v>
      </c>
      <c r="DP7" s="181" t="s">
        <v>305</v>
      </c>
      <c r="DQ7" s="181" t="s">
        <v>305</v>
      </c>
      <c r="DR7" s="181" t="s">
        <v>305</v>
      </c>
      <c r="DS7" s="181" t="s">
        <v>305</v>
      </c>
      <c r="DT7" s="181" t="s">
        <v>305</v>
      </c>
      <c r="DU7" s="182" t="s">
        <v>305</v>
      </c>
      <c r="DV7" s="170">
        <v>1</v>
      </c>
      <c r="DW7" s="170">
        <v>0</v>
      </c>
      <c r="DX7" s="178">
        <v>0</v>
      </c>
      <c r="DY7" s="173">
        <v>1</v>
      </c>
      <c r="DZ7" s="173">
        <v>0</v>
      </c>
      <c r="EA7" s="173">
        <v>0</v>
      </c>
      <c r="EB7" s="173">
        <v>0</v>
      </c>
      <c r="EC7" s="173">
        <v>2</v>
      </c>
      <c r="ED7" s="173">
        <v>999</v>
      </c>
      <c r="EE7" s="177">
        <v>0</v>
      </c>
      <c r="EF7" s="173">
        <v>1</v>
      </c>
      <c r="EG7" s="183">
        <v>1</v>
      </c>
      <c r="EH7" s="183">
        <v>1</v>
      </c>
      <c r="EI7" s="173">
        <v>1</v>
      </c>
      <c r="EJ7" s="173">
        <v>0</v>
      </c>
      <c r="EK7" s="173">
        <v>0</v>
      </c>
      <c r="EL7" s="173">
        <v>999</v>
      </c>
      <c r="EM7" s="177">
        <v>0</v>
      </c>
      <c r="EN7" s="173">
        <v>1</v>
      </c>
      <c r="EO7" s="177">
        <v>999</v>
      </c>
      <c r="EP7" s="173">
        <v>1</v>
      </c>
      <c r="EQ7" s="173">
        <v>0</v>
      </c>
      <c r="ER7" s="177">
        <v>0</v>
      </c>
      <c r="ES7" s="173">
        <v>1</v>
      </c>
      <c r="ET7" s="173">
        <v>0</v>
      </c>
      <c r="EU7" s="173">
        <v>0</v>
      </c>
      <c r="EV7" s="173">
        <v>999</v>
      </c>
      <c r="EW7" s="173">
        <v>0</v>
      </c>
      <c r="EX7" s="173">
        <v>999</v>
      </c>
      <c r="EY7" s="177">
        <v>0</v>
      </c>
      <c r="EZ7" s="171">
        <v>2</v>
      </c>
      <c r="FA7" s="179">
        <v>999</v>
      </c>
      <c r="FB7" s="169">
        <v>2</v>
      </c>
      <c r="FC7" s="169">
        <v>0</v>
      </c>
      <c r="FD7" s="169">
        <v>0</v>
      </c>
      <c r="FE7" s="169">
        <v>0</v>
      </c>
      <c r="FF7" s="184">
        <v>0</v>
      </c>
      <c r="FG7" s="169">
        <v>2</v>
      </c>
      <c r="FH7" s="169">
        <v>0</v>
      </c>
      <c r="FI7" s="169">
        <v>0</v>
      </c>
      <c r="FJ7" s="169">
        <v>0</v>
      </c>
      <c r="FK7" s="184">
        <v>0</v>
      </c>
      <c r="FL7" s="184">
        <v>2</v>
      </c>
    </row>
    <row r="8" spans="1:168" s="31" customFormat="1" ht="15" customHeight="1" x14ac:dyDescent="0.3">
      <c r="A8" s="31" t="s">
        <v>312</v>
      </c>
      <c r="B8" s="129">
        <v>999</v>
      </c>
      <c r="C8" s="129">
        <v>1</v>
      </c>
      <c r="D8" s="129">
        <v>0</v>
      </c>
      <c r="E8" s="129">
        <v>0</v>
      </c>
      <c r="F8" s="129">
        <v>0</v>
      </c>
      <c r="G8" s="129">
        <v>0</v>
      </c>
      <c r="H8" s="129">
        <v>0</v>
      </c>
      <c r="I8" s="146">
        <v>1</v>
      </c>
      <c r="J8" s="146">
        <v>0.14000000000000001</v>
      </c>
      <c r="K8" s="146">
        <v>5</v>
      </c>
      <c r="L8" s="157">
        <v>86</v>
      </c>
      <c r="M8" s="157">
        <v>0</v>
      </c>
      <c r="N8" s="157">
        <v>7</v>
      </c>
      <c r="O8" s="159">
        <v>114</v>
      </c>
      <c r="P8" s="159">
        <v>0</v>
      </c>
      <c r="Q8" s="159">
        <v>2</v>
      </c>
      <c r="R8" s="129" t="s">
        <v>305</v>
      </c>
      <c r="S8" s="129" t="s">
        <v>305</v>
      </c>
      <c r="T8" s="129"/>
      <c r="U8" s="129" t="s">
        <v>305</v>
      </c>
      <c r="V8" s="129" t="s">
        <v>305</v>
      </c>
      <c r="W8" s="129" t="s">
        <v>305</v>
      </c>
      <c r="X8" s="129">
        <v>86</v>
      </c>
      <c r="Y8" s="129">
        <v>2.5</v>
      </c>
      <c r="Z8" s="129">
        <v>290.19607843136998</v>
      </c>
      <c r="AA8" s="129">
        <v>2</v>
      </c>
      <c r="AB8" s="29">
        <v>2</v>
      </c>
      <c r="AC8" s="29">
        <v>0</v>
      </c>
      <c r="AD8" s="29">
        <v>0</v>
      </c>
      <c r="AE8" s="29">
        <v>2</v>
      </c>
      <c r="AF8" s="29">
        <v>0</v>
      </c>
      <c r="AG8" s="29">
        <v>0</v>
      </c>
      <c r="AH8" s="147">
        <v>999</v>
      </c>
      <c r="AI8" s="147">
        <v>999</v>
      </c>
      <c r="AJ8" s="148">
        <v>999</v>
      </c>
      <c r="AK8" s="129">
        <v>1</v>
      </c>
      <c r="AL8" s="129">
        <v>999</v>
      </c>
      <c r="AM8" s="129">
        <v>999</v>
      </c>
      <c r="AN8" s="129">
        <v>999</v>
      </c>
      <c r="AO8" s="129">
        <v>999</v>
      </c>
      <c r="AP8" s="129">
        <v>999</v>
      </c>
      <c r="AQ8" s="129">
        <v>999</v>
      </c>
      <c r="AR8" s="129">
        <v>999</v>
      </c>
      <c r="AS8" s="129">
        <v>999</v>
      </c>
      <c r="AT8" s="129">
        <v>223</v>
      </c>
      <c r="AU8" s="29">
        <v>1</v>
      </c>
      <c r="AV8" s="29">
        <v>2</v>
      </c>
      <c r="AW8" s="29">
        <v>0</v>
      </c>
      <c r="AX8" s="29">
        <v>0</v>
      </c>
      <c r="AY8" s="29">
        <v>0</v>
      </c>
      <c r="AZ8" s="149">
        <v>3</v>
      </c>
      <c r="BA8" s="149">
        <v>999</v>
      </c>
      <c r="BB8" s="149">
        <v>999</v>
      </c>
      <c r="BC8" s="149">
        <v>0</v>
      </c>
      <c r="BD8" s="149">
        <v>0</v>
      </c>
      <c r="BE8" s="27">
        <v>2</v>
      </c>
      <c r="BF8" s="129">
        <v>1</v>
      </c>
      <c r="BG8" s="129">
        <v>0</v>
      </c>
      <c r="BH8" s="150">
        <v>150</v>
      </c>
      <c r="BI8" s="29">
        <v>0.01</v>
      </c>
      <c r="BJ8" s="29">
        <v>2</v>
      </c>
      <c r="BK8" s="29">
        <v>1</v>
      </c>
      <c r="BL8" s="27">
        <v>0</v>
      </c>
      <c r="BM8" s="129">
        <v>101</v>
      </c>
      <c r="BN8" s="129">
        <v>40</v>
      </c>
      <c r="BO8" s="129">
        <v>2</v>
      </c>
      <c r="BP8" s="129" t="s">
        <v>305</v>
      </c>
      <c r="BQ8" s="129" t="s">
        <v>305</v>
      </c>
      <c r="BR8" s="129" t="s">
        <v>305</v>
      </c>
      <c r="BS8" s="129">
        <v>1</v>
      </c>
      <c r="BT8" s="150">
        <v>0</v>
      </c>
      <c r="BU8" s="129">
        <v>999</v>
      </c>
      <c r="BV8" s="129" t="s">
        <v>369</v>
      </c>
      <c r="BW8" s="146">
        <v>2</v>
      </c>
      <c r="BX8" s="151">
        <v>0</v>
      </c>
      <c r="BY8" s="29">
        <v>1</v>
      </c>
      <c r="BZ8" s="29">
        <v>1</v>
      </c>
      <c r="CA8" s="27">
        <v>0</v>
      </c>
      <c r="CB8" s="29">
        <v>1</v>
      </c>
      <c r="CC8" s="29">
        <v>1</v>
      </c>
      <c r="CD8" s="29">
        <v>0</v>
      </c>
      <c r="CE8" s="29">
        <v>0</v>
      </c>
      <c r="CF8" s="29">
        <v>0</v>
      </c>
      <c r="CG8" s="29">
        <v>0</v>
      </c>
      <c r="CH8" s="27">
        <v>0</v>
      </c>
      <c r="CI8" s="27">
        <v>1</v>
      </c>
      <c r="CJ8" s="29">
        <v>2</v>
      </c>
      <c r="CK8" s="27">
        <v>0</v>
      </c>
      <c r="CL8" s="29">
        <v>2</v>
      </c>
      <c r="CM8" s="152">
        <v>2</v>
      </c>
      <c r="CN8" s="129">
        <v>1</v>
      </c>
      <c r="CO8" s="129">
        <v>2</v>
      </c>
      <c r="CP8" s="129">
        <v>0</v>
      </c>
      <c r="CQ8" s="150" t="s">
        <v>370</v>
      </c>
      <c r="CR8" s="153" t="s">
        <v>305</v>
      </c>
      <c r="CS8" s="153" t="s">
        <v>305</v>
      </c>
      <c r="CT8" s="153" t="s">
        <v>305</v>
      </c>
      <c r="CU8" s="153" t="s">
        <v>305</v>
      </c>
      <c r="CV8" s="153" t="s">
        <v>305</v>
      </c>
      <c r="CW8" s="153" t="s">
        <v>305</v>
      </c>
      <c r="CX8" s="153" t="s">
        <v>305</v>
      </c>
      <c r="CY8" s="153" t="s">
        <v>305</v>
      </c>
      <c r="CZ8" s="153" t="s">
        <v>305</v>
      </c>
      <c r="DA8" s="154" t="s">
        <v>305</v>
      </c>
      <c r="DB8" s="153" t="s">
        <v>305</v>
      </c>
      <c r="DC8" s="153" t="s">
        <v>305</v>
      </c>
      <c r="DD8" s="153" t="s">
        <v>305</v>
      </c>
      <c r="DE8" s="153" t="s">
        <v>305</v>
      </c>
      <c r="DF8" s="153" t="s">
        <v>305</v>
      </c>
      <c r="DG8" s="153" t="s">
        <v>305</v>
      </c>
      <c r="DH8" s="153" t="s">
        <v>305</v>
      </c>
      <c r="DI8" s="153" t="s">
        <v>305</v>
      </c>
      <c r="DJ8" s="153" t="s">
        <v>305</v>
      </c>
      <c r="DK8" s="154" t="s">
        <v>305</v>
      </c>
      <c r="DL8" s="153" t="s">
        <v>305</v>
      </c>
      <c r="DM8" s="153" t="s">
        <v>305</v>
      </c>
      <c r="DN8" s="153" t="s">
        <v>305</v>
      </c>
      <c r="DO8" s="153" t="s">
        <v>305</v>
      </c>
      <c r="DP8" s="153" t="s">
        <v>305</v>
      </c>
      <c r="DQ8" s="153" t="s">
        <v>305</v>
      </c>
      <c r="DR8" s="153" t="s">
        <v>305</v>
      </c>
      <c r="DS8" s="153" t="s">
        <v>305</v>
      </c>
      <c r="DT8" s="153" t="s">
        <v>305</v>
      </c>
      <c r="DU8" s="154" t="s">
        <v>305</v>
      </c>
      <c r="DV8" s="129">
        <v>1</v>
      </c>
      <c r="DW8" s="129">
        <v>0</v>
      </c>
      <c r="DX8" s="150">
        <v>0</v>
      </c>
      <c r="DY8" s="29">
        <v>1</v>
      </c>
      <c r="DZ8" s="29">
        <v>0</v>
      </c>
      <c r="EA8" s="29">
        <v>0</v>
      </c>
      <c r="EB8" s="29">
        <v>0</v>
      </c>
      <c r="EC8" s="29">
        <v>2</v>
      </c>
      <c r="ED8" s="29">
        <v>999</v>
      </c>
      <c r="EE8" s="27">
        <v>0</v>
      </c>
      <c r="EF8" s="29">
        <v>1</v>
      </c>
      <c r="EG8" s="28">
        <v>1</v>
      </c>
      <c r="EH8" s="28">
        <v>1</v>
      </c>
      <c r="EI8" s="29">
        <v>1</v>
      </c>
      <c r="EJ8" s="29">
        <v>0</v>
      </c>
      <c r="EK8" s="29">
        <v>0</v>
      </c>
      <c r="EL8" s="29">
        <v>999</v>
      </c>
      <c r="EM8" s="27">
        <v>0</v>
      </c>
      <c r="EN8" s="29">
        <v>1</v>
      </c>
      <c r="EO8" s="27">
        <v>999</v>
      </c>
      <c r="EP8" s="29">
        <v>1</v>
      </c>
      <c r="EQ8" s="29">
        <v>0</v>
      </c>
      <c r="ER8" s="27">
        <v>0</v>
      </c>
      <c r="ES8" s="29">
        <v>1</v>
      </c>
      <c r="ET8" s="29">
        <v>0</v>
      </c>
      <c r="EU8" s="29">
        <v>0</v>
      </c>
      <c r="EV8" s="29">
        <v>999</v>
      </c>
      <c r="EW8" s="29">
        <v>0</v>
      </c>
      <c r="EX8" s="29">
        <v>999</v>
      </c>
      <c r="EY8" s="27">
        <v>0</v>
      </c>
      <c r="EZ8" s="146">
        <v>2</v>
      </c>
      <c r="FA8" s="151">
        <v>999</v>
      </c>
      <c r="FB8">
        <v>2</v>
      </c>
      <c r="FC8">
        <v>0</v>
      </c>
      <c r="FD8">
        <v>0</v>
      </c>
      <c r="FE8">
        <v>0</v>
      </c>
      <c r="FF8" s="4">
        <v>0</v>
      </c>
      <c r="FG8">
        <v>2</v>
      </c>
      <c r="FH8">
        <v>0</v>
      </c>
      <c r="FI8">
        <v>0</v>
      </c>
      <c r="FJ8">
        <v>0</v>
      </c>
      <c r="FK8" s="4">
        <v>0</v>
      </c>
      <c r="FL8" s="4">
        <v>2</v>
      </c>
    </row>
    <row r="9" spans="1:168" s="165" customFormat="1" ht="15" customHeight="1" x14ac:dyDescent="0.3">
      <c r="A9" s="165" t="s">
        <v>314</v>
      </c>
      <c r="B9" s="170">
        <v>999</v>
      </c>
      <c r="C9" s="170">
        <v>1</v>
      </c>
      <c r="D9" s="170">
        <v>0</v>
      </c>
      <c r="E9" s="170">
        <v>0</v>
      </c>
      <c r="F9" s="170">
        <v>0</v>
      </c>
      <c r="G9" s="170">
        <v>0</v>
      </c>
      <c r="H9" s="170">
        <v>0</v>
      </c>
      <c r="I9" s="171">
        <v>1</v>
      </c>
      <c r="J9" s="171">
        <v>0.14000000000000001</v>
      </c>
      <c r="K9" s="171">
        <v>5</v>
      </c>
      <c r="L9" s="172">
        <v>231</v>
      </c>
      <c r="M9" s="172">
        <v>0</v>
      </c>
      <c r="N9" s="172">
        <v>7</v>
      </c>
      <c r="O9" s="226"/>
      <c r="P9" s="226"/>
      <c r="Q9" s="226"/>
      <c r="R9" s="225">
        <v>332</v>
      </c>
      <c r="S9" s="225">
        <v>0</v>
      </c>
      <c r="T9" s="225">
        <v>25</v>
      </c>
      <c r="U9" s="229">
        <v>465</v>
      </c>
      <c r="V9" s="229">
        <v>0</v>
      </c>
      <c r="W9" s="229">
        <v>7</v>
      </c>
      <c r="X9" s="170">
        <v>232</v>
      </c>
      <c r="Y9" s="170">
        <v>2</v>
      </c>
      <c r="Z9" s="170">
        <v>16.666666666666668</v>
      </c>
      <c r="AA9" s="170">
        <v>1</v>
      </c>
      <c r="AB9" s="173">
        <v>2</v>
      </c>
      <c r="AC9" s="173">
        <v>0</v>
      </c>
      <c r="AD9" s="173">
        <v>0</v>
      </c>
      <c r="AE9" s="173">
        <v>2</v>
      </c>
      <c r="AF9" s="173">
        <v>0</v>
      </c>
      <c r="AG9" s="173">
        <v>0</v>
      </c>
      <c r="AH9" s="174">
        <v>999</v>
      </c>
      <c r="AI9" s="174">
        <v>999</v>
      </c>
      <c r="AJ9" s="175">
        <v>999</v>
      </c>
      <c r="AK9" s="170">
        <v>1</v>
      </c>
      <c r="AL9" s="170">
        <v>999</v>
      </c>
      <c r="AM9" s="170">
        <v>999</v>
      </c>
      <c r="AN9" s="170">
        <v>999</v>
      </c>
      <c r="AO9" s="170">
        <v>999</v>
      </c>
      <c r="AP9" s="170">
        <v>999</v>
      </c>
      <c r="AQ9" s="170">
        <v>999</v>
      </c>
      <c r="AR9" s="170">
        <v>999</v>
      </c>
      <c r="AS9" s="170">
        <v>999</v>
      </c>
      <c r="AT9" s="170">
        <v>331</v>
      </c>
      <c r="AU9" s="173">
        <v>1</v>
      </c>
      <c r="AV9" s="173">
        <v>2</v>
      </c>
      <c r="AW9" s="173">
        <v>0</v>
      </c>
      <c r="AX9" s="173">
        <v>0</v>
      </c>
      <c r="AY9" s="173">
        <v>0</v>
      </c>
      <c r="AZ9" s="176">
        <v>3</v>
      </c>
      <c r="BA9" s="176">
        <v>999</v>
      </c>
      <c r="BB9" s="176">
        <v>999</v>
      </c>
      <c r="BC9" s="176">
        <v>0</v>
      </c>
      <c r="BD9" s="176">
        <v>0</v>
      </c>
      <c r="BE9" s="177">
        <v>2</v>
      </c>
      <c r="BF9" s="170">
        <v>1</v>
      </c>
      <c r="BG9" s="170">
        <v>0</v>
      </c>
      <c r="BH9" s="178">
        <v>150</v>
      </c>
      <c r="BI9" s="173">
        <v>0.01</v>
      </c>
      <c r="BJ9" s="173">
        <v>2</v>
      </c>
      <c r="BK9" s="173">
        <v>1</v>
      </c>
      <c r="BL9" s="177">
        <v>0</v>
      </c>
      <c r="BM9" s="170">
        <v>470</v>
      </c>
      <c r="BN9" s="170">
        <v>30</v>
      </c>
      <c r="BO9" s="170">
        <v>2</v>
      </c>
      <c r="BP9" s="170" t="s">
        <v>305</v>
      </c>
      <c r="BQ9" s="170" t="s">
        <v>305</v>
      </c>
      <c r="BR9" s="170" t="s">
        <v>305</v>
      </c>
      <c r="BS9" s="170">
        <v>1</v>
      </c>
      <c r="BT9" s="178">
        <v>0</v>
      </c>
      <c r="BU9" s="170">
        <v>999</v>
      </c>
      <c r="BV9" s="170" t="s">
        <v>371</v>
      </c>
      <c r="BW9" s="171">
        <v>2</v>
      </c>
      <c r="BX9" s="179">
        <v>0</v>
      </c>
      <c r="BY9" s="173">
        <v>1</v>
      </c>
      <c r="BZ9" s="173">
        <v>1</v>
      </c>
      <c r="CA9" s="177">
        <v>0</v>
      </c>
      <c r="CB9" s="173">
        <v>1</v>
      </c>
      <c r="CC9" s="173">
        <v>1</v>
      </c>
      <c r="CD9" s="173">
        <v>0</v>
      </c>
      <c r="CE9" s="173">
        <v>0</v>
      </c>
      <c r="CF9" s="173">
        <v>0</v>
      </c>
      <c r="CG9" s="173">
        <v>0</v>
      </c>
      <c r="CH9" s="177">
        <v>0</v>
      </c>
      <c r="CI9" s="177">
        <v>1</v>
      </c>
      <c r="CJ9" s="173">
        <v>2</v>
      </c>
      <c r="CK9" s="177">
        <v>0</v>
      </c>
      <c r="CL9" s="173">
        <v>2</v>
      </c>
      <c r="CM9" s="180">
        <v>2</v>
      </c>
      <c r="CN9" s="170">
        <v>1</v>
      </c>
      <c r="CO9" s="170">
        <v>2</v>
      </c>
      <c r="CP9" s="170">
        <v>0</v>
      </c>
      <c r="CQ9" s="178" t="s">
        <v>370</v>
      </c>
      <c r="CR9" s="181" t="s">
        <v>305</v>
      </c>
      <c r="CS9" s="181" t="s">
        <v>305</v>
      </c>
      <c r="CT9" s="181" t="s">
        <v>305</v>
      </c>
      <c r="CU9" s="181" t="s">
        <v>305</v>
      </c>
      <c r="CV9" s="181" t="s">
        <v>305</v>
      </c>
      <c r="CW9" s="181" t="s">
        <v>305</v>
      </c>
      <c r="CX9" s="181" t="s">
        <v>305</v>
      </c>
      <c r="CY9" s="181" t="s">
        <v>305</v>
      </c>
      <c r="CZ9" s="181" t="s">
        <v>305</v>
      </c>
      <c r="DA9" s="182" t="s">
        <v>305</v>
      </c>
      <c r="DB9" s="181" t="s">
        <v>305</v>
      </c>
      <c r="DC9" s="181" t="s">
        <v>305</v>
      </c>
      <c r="DD9" s="181" t="s">
        <v>305</v>
      </c>
      <c r="DE9" s="181" t="s">
        <v>305</v>
      </c>
      <c r="DF9" s="181" t="s">
        <v>305</v>
      </c>
      <c r="DG9" s="181" t="s">
        <v>305</v>
      </c>
      <c r="DH9" s="181" t="s">
        <v>305</v>
      </c>
      <c r="DI9" s="181" t="s">
        <v>305</v>
      </c>
      <c r="DJ9" s="181" t="s">
        <v>305</v>
      </c>
      <c r="DK9" s="182" t="s">
        <v>305</v>
      </c>
      <c r="DL9" s="181" t="s">
        <v>305</v>
      </c>
      <c r="DM9" s="181" t="s">
        <v>305</v>
      </c>
      <c r="DN9" s="181" t="s">
        <v>305</v>
      </c>
      <c r="DO9" s="181" t="s">
        <v>305</v>
      </c>
      <c r="DP9" s="181" t="s">
        <v>305</v>
      </c>
      <c r="DQ9" s="181" t="s">
        <v>305</v>
      </c>
      <c r="DR9" s="181" t="s">
        <v>305</v>
      </c>
      <c r="DS9" s="181" t="s">
        <v>305</v>
      </c>
      <c r="DT9" s="181" t="s">
        <v>305</v>
      </c>
      <c r="DU9" s="182" t="s">
        <v>305</v>
      </c>
      <c r="DV9" s="170">
        <v>1</v>
      </c>
      <c r="DW9" s="170">
        <v>0</v>
      </c>
      <c r="DX9" s="178">
        <v>0</v>
      </c>
      <c r="DY9" s="173">
        <v>1</v>
      </c>
      <c r="DZ9" s="173">
        <v>0</v>
      </c>
      <c r="EA9" s="173">
        <v>0</v>
      </c>
      <c r="EB9" s="173">
        <v>0</v>
      </c>
      <c r="EC9" s="173">
        <v>2</v>
      </c>
      <c r="ED9" s="173">
        <v>999</v>
      </c>
      <c r="EE9" s="177">
        <v>0</v>
      </c>
      <c r="EF9" s="173">
        <v>1</v>
      </c>
      <c r="EG9" s="183">
        <v>1</v>
      </c>
      <c r="EH9" s="183">
        <v>1</v>
      </c>
      <c r="EI9" s="173">
        <v>1</v>
      </c>
      <c r="EJ9" s="173">
        <v>0</v>
      </c>
      <c r="EK9" s="173">
        <v>0</v>
      </c>
      <c r="EL9" s="173">
        <v>999</v>
      </c>
      <c r="EM9" s="177">
        <v>0</v>
      </c>
      <c r="EN9" s="173">
        <v>1</v>
      </c>
      <c r="EO9" s="177">
        <v>999</v>
      </c>
      <c r="EP9" s="173">
        <v>1</v>
      </c>
      <c r="EQ9" s="173">
        <v>0</v>
      </c>
      <c r="ER9" s="177">
        <v>0</v>
      </c>
      <c r="ES9" s="173">
        <v>1</v>
      </c>
      <c r="ET9" s="173">
        <v>0</v>
      </c>
      <c r="EU9" s="173">
        <v>0</v>
      </c>
      <c r="EV9" s="173">
        <v>999</v>
      </c>
      <c r="EW9" s="173">
        <v>0</v>
      </c>
      <c r="EX9" s="173">
        <v>999</v>
      </c>
      <c r="EY9" s="177">
        <v>0</v>
      </c>
      <c r="EZ9" s="171">
        <v>2</v>
      </c>
      <c r="FA9" s="179">
        <v>999</v>
      </c>
      <c r="FB9" s="169">
        <v>2</v>
      </c>
      <c r="FC9" s="169">
        <v>0</v>
      </c>
      <c r="FD9" s="169">
        <v>0</v>
      </c>
      <c r="FE9" s="169">
        <v>0</v>
      </c>
      <c r="FF9" s="184">
        <v>0</v>
      </c>
      <c r="FG9" s="169">
        <v>2</v>
      </c>
      <c r="FH9" s="169">
        <v>0</v>
      </c>
      <c r="FI9" s="169">
        <v>0</v>
      </c>
      <c r="FJ9" s="169">
        <v>0</v>
      </c>
      <c r="FK9" s="184">
        <v>0</v>
      </c>
      <c r="FL9" s="184">
        <v>2</v>
      </c>
    </row>
    <row r="10" spans="1:168" s="31" customFormat="1" ht="15" customHeight="1" x14ac:dyDescent="0.3">
      <c r="A10" s="31" t="s">
        <v>315</v>
      </c>
      <c r="B10" s="129">
        <v>999</v>
      </c>
      <c r="C10" s="129">
        <v>1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46">
        <v>1</v>
      </c>
      <c r="J10" s="146">
        <v>0.14000000000000001</v>
      </c>
      <c r="K10" s="146">
        <v>5</v>
      </c>
      <c r="L10" s="160">
        <v>106</v>
      </c>
      <c r="M10" s="160">
        <v>0</v>
      </c>
      <c r="N10" s="160">
        <v>7</v>
      </c>
      <c r="O10" s="129" t="s">
        <v>305</v>
      </c>
      <c r="P10" s="129" t="s">
        <v>305</v>
      </c>
      <c r="Q10" s="129" t="s">
        <v>305</v>
      </c>
      <c r="R10" s="129" t="s">
        <v>305</v>
      </c>
      <c r="S10" s="129" t="s">
        <v>305</v>
      </c>
      <c r="T10" s="129" t="s">
        <v>305</v>
      </c>
      <c r="U10" s="129" t="s">
        <v>305</v>
      </c>
      <c r="V10" s="129" t="s">
        <v>305</v>
      </c>
      <c r="W10" s="129" t="s">
        <v>305</v>
      </c>
      <c r="X10" s="129">
        <v>106</v>
      </c>
      <c r="Y10" s="129">
        <v>3.5</v>
      </c>
      <c r="Z10" s="129">
        <v>11</v>
      </c>
      <c r="AA10" s="129">
        <v>5</v>
      </c>
      <c r="AB10" s="29">
        <v>2</v>
      </c>
      <c r="AC10" s="29">
        <v>0</v>
      </c>
      <c r="AD10" s="29">
        <v>0</v>
      </c>
      <c r="AE10" s="29">
        <v>2</v>
      </c>
      <c r="AF10" s="29">
        <v>0</v>
      </c>
      <c r="AG10" s="29">
        <v>0</v>
      </c>
      <c r="AH10" s="147">
        <v>999</v>
      </c>
      <c r="AI10" s="147">
        <v>999</v>
      </c>
      <c r="AJ10" s="148">
        <v>999</v>
      </c>
      <c r="AK10" s="129">
        <v>1</v>
      </c>
      <c r="AL10" s="129">
        <v>999</v>
      </c>
      <c r="AM10" s="129">
        <v>999</v>
      </c>
      <c r="AN10" s="129">
        <v>999</v>
      </c>
      <c r="AO10" s="129">
        <v>999</v>
      </c>
      <c r="AP10" s="129">
        <v>999</v>
      </c>
      <c r="AQ10" s="129">
        <v>999</v>
      </c>
      <c r="AR10" s="129">
        <v>999</v>
      </c>
      <c r="AS10" s="129">
        <v>999</v>
      </c>
      <c r="AT10" s="129">
        <v>296</v>
      </c>
      <c r="AU10" s="29">
        <v>1</v>
      </c>
      <c r="AV10" s="29">
        <v>2</v>
      </c>
      <c r="AW10" s="29">
        <v>0</v>
      </c>
      <c r="AX10" s="29">
        <v>0</v>
      </c>
      <c r="AY10" s="29">
        <v>0</v>
      </c>
      <c r="AZ10" s="149">
        <v>3</v>
      </c>
      <c r="BA10" s="149">
        <v>999</v>
      </c>
      <c r="BB10" s="149">
        <v>999</v>
      </c>
      <c r="BC10" s="149">
        <v>0</v>
      </c>
      <c r="BD10" s="149">
        <v>0</v>
      </c>
      <c r="BE10" s="27">
        <v>2</v>
      </c>
      <c r="BF10" s="129">
        <v>1</v>
      </c>
      <c r="BG10" s="129">
        <v>0</v>
      </c>
      <c r="BH10" s="150">
        <v>150</v>
      </c>
      <c r="BI10" s="29">
        <v>0.01</v>
      </c>
      <c r="BJ10" s="29">
        <v>2</v>
      </c>
      <c r="BK10" s="29">
        <v>1</v>
      </c>
      <c r="BL10" s="27">
        <v>0</v>
      </c>
      <c r="BM10" s="129" t="s">
        <v>305</v>
      </c>
      <c r="BN10" s="129" t="s">
        <v>305</v>
      </c>
      <c r="BO10" s="129" t="s">
        <v>305</v>
      </c>
      <c r="BP10" s="129" t="s">
        <v>305</v>
      </c>
      <c r="BQ10" s="129" t="s">
        <v>305</v>
      </c>
      <c r="BR10" s="129" t="s">
        <v>305</v>
      </c>
      <c r="BS10" s="129">
        <v>1</v>
      </c>
      <c r="BT10" s="150">
        <v>0</v>
      </c>
      <c r="BU10" s="129">
        <v>999</v>
      </c>
      <c r="BV10" s="129" t="s">
        <v>369</v>
      </c>
      <c r="BW10" s="146">
        <v>2</v>
      </c>
      <c r="BX10" s="151">
        <v>0</v>
      </c>
      <c r="BY10" s="29">
        <v>1</v>
      </c>
      <c r="BZ10" s="29">
        <v>1</v>
      </c>
      <c r="CA10" s="27">
        <v>0</v>
      </c>
      <c r="CB10" s="29">
        <v>1</v>
      </c>
      <c r="CC10" s="29">
        <v>1</v>
      </c>
      <c r="CD10" s="29">
        <v>0</v>
      </c>
      <c r="CE10" s="29">
        <v>0</v>
      </c>
      <c r="CF10" s="29">
        <v>0</v>
      </c>
      <c r="CG10" s="29">
        <v>0</v>
      </c>
      <c r="CH10" s="27">
        <v>0</v>
      </c>
      <c r="CI10" s="27">
        <v>1</v>
      </c>
      <c r="CJ10" s="29">
        <v>2</v>
      </c>
      <c r="CK10" s="27">
        <v>0</v>
      </c>
      <c r="CL10" s="29">
        <v>2</v>
      </c>
      <c r="CM10" s="152">
        <v>2</v>
      </c>
      <c r="CN10" s="129">
        <v>1</v>
      </c>
      <c r="CO10" s="129">
        <v>2</v>
      </c>
      <c r="CP10" s="129">
        <v>0</v>
      </c>
      <c r="CQ10" s="150" t="s">
        <v>370</v>
      </c>
      <c r="CR10" s="153" t="s">
        <v>305</v>
      </c>
      <c r="CS10" s="153" t="s">
        <v>305</v>
      </c>
      <c r="CT10" s="153" t="s">
        <v>305</v>
      </c>
      <c r="CU10" s="153" t="s">
        <v>305</v>
      </c>
      <c r="CV10" s="153" t="s">
        <v>305</v>
      </c>
      <c r="CW10" s="153" t="s">
        <v>305</v>
      </c>
      <c r="CX10" s="153" t="s">
        <v>305</v>
      </c>
      <c r="CY10" s="153" t="s">
        <v>305</v>
      </c>
      <c r="CZ10" s="153" t="s">
        <v>305</v>
      </c>
      <c r="DA10" s="154" t="s">
        <v>305</v>
      </c>
      <c r="DB10" s="153" t="s">
        <v>305</v>
      </c>
      <c r="DC10" s="153" t="s">
        <v>305</v>
      </c>
      <c r="DD10" s="153" t="s">
        <v>305</v>
      </c>
      <c r="DE10" s="153" t="s">
        <v>305</v>
      </c>
      <c r="DF10" s="153" t="s">
        <v>305</v>
      </c>
      <c r="DG10" s="153" t="s">
        <v>305</v>
      </c>
      <c r="DH10" s="153" t="s">
        <v>305</v>
      </c>
      <c r="DI10" s="153" t="s">
        <v>305</v>
      </c>
      <c r="DJ10" s="153" t="s">
        <v>305</v>
      </c>
      <c r="DK10" s="154" t="s">
        <v>305</v>
      </c>
      <c r="DL10" s="153" t="s">
        <v>305</v>
      </c>
      <c r="DM10" s="153" t="s">
        <v>305</v>
      </c>
      <c r="DN10" s="153" t="s">
        <v>305</v>
      </c>
      <c r="DO10" s="153" t="s">
        <v>305</v>
      </c>
      <c r="DP10" s="153" t="s">
        <v>305</v>
      </c>
      <c r="DQ10" s="153" t="s">
        <v>305</v>
      </c>
      <c r="DR10" s="153" t="s">
        <v>305</v>
      </c>
      <c r="DS10" s="153" t="s">
        <v>305</v>
      </c>
      <c r="DT10" s="153" t="s">
        <v>305</v>
      </c>
      <c r="DU10" s="154" t="s">
        <v>305</v>
      </c>
      <c r="DV10" s="129">
        <v>1</v>
      </c>
      <c r="DW10" s="129">
        <v>0</v>
      </c>
      <c r="DX10" s="150">
        <v>0</v>
      </c>
      <c r="DY10" s="29">
        <v>1</v>
      </c>
      <c r="DZ10" s="29">
        <v>0</v>
      </c>
      <c r="EA10" s="29">
        <v>0</v>
      </c>
      <c r="EB10" s="29">
        <v>0</v>
      </c>
      <c r="EC10" s="29">
        <v>2</v>
      </c>
      <c r="ED10" s="29">
        <v>999</v>
      </c>
      <c r="EE10" s="27">
        <v>0</v>
      </c>
      <c r="EF10" s="29">
        <v>1</v>
      </c>
      <c r="EG10" s="28">
        <v>1</v>
      </c>
      <c r="EH10" s="28">
        <v>1</v>
      </c>
      <c r="EI10" s="29">
        <v>1</v>
      </c>
      <c r="EJ10" s="29">
        <v>0</v>
      </c>
      <c r="EK10" s="29">
        <v>0</v>
      </c>
      <c r="EL10" s="29">
        <v>999</v>
      </c>
      <c r="EM10" s="27">
        <v>0</v>
      </c>
      <c r="EN10" s="29">
        <v>1</v>
      </c>
      <c r="EO10" s="27">
        <v>999</v>
      </c>
      <c r="EP10" s="29">
        <v>1</v>
      </c>
      <c r="EQ10" s="29">
        <v>0</v>
      </c>
      <c r="ER10" s="27">
        <v>0</v>
      </c>
      <c r="ES10" s="29">
        <v>1</v>
      </c>
      <c r="ET10" s="29">
        <v>0</v>
      </c>
      <c r="EU10" s="29">
        <v>0</v>
      </c>
      <c r="EV10" s="29">
        <v>999</v>
      </c>
      <c r="EW10" s="29">
        <v>0</v>
      </c>
      <c r="EX10" s="29">
        <v>999</v>
      </c>
      <c r="EY10" s="27">
        <v>0</v>
      </c>
      <c r="EZ10" s="146">
        <v>2</v>
      </c>
      <c r="FA10" s="151">
        <v>999</v>
      </c>
      <c r="FB10">
        <v>2</v>
      </c>
      <c r="FC10">
        <v>0</v>
      </c>
      <c r="FD10">
        <v>0</v>
      </c>
      <c r="FE10">
        <v>0</v>
      </c>
      <c r="FF10" s="4">
        <v>0</v>
      </c>
      <c r="FG10">
        <v>2</v>
      </c>
      <c r="FH10">
        <v>0</v>
      </c>
      <c r="FI10">
        <v>0</v>
      </c>
      <c r="FJ10">
        <v>0</v>
      </c>
      <c r="FK10" s="4">
        <v>0</v>
      </c>
      <c r="FL10" s="4">
        <v>2</v>
      </c>
    </row>
    <row r="11" spans="1:168" s="31" customFormat="1" ht="15" customHeight="1" x14ac:dyDescent="0.3">
      <c r="A11" s="31" t="s">
        <v>317</v>
      </c>
      <c r="B11" s="129">
        <v>999</v>
      </c>
      <c r="C11" s="129">
        <v>1</v>
      </c>
      <c r="D11" s="129">
        <v>0</v>
      </c>
      <c r="E11" s="129">
        <v>0</v>
      </c>
      <c r="F11" s="129">
        <v>0</v>
      </c>
      <c r="G11" s="129">
        <v>0</v>
      </c>
      <c r="H11" s="129">
        <v>0</v>
      </c>
      <c r="I11" s="146">
        <v>1</v>
      </c>
      <c r="J11" s="146">
        <v>0.14000000000000001</v>
      </c>
      <c r="K11" s="146">
        <v>5</v>
      </c>
      <c r="L11" s="158">
        <v>302</v>
      </c>
      <c r="M11" s="158">
        <v>0</v>
      </c>
      <c r="N11" s="158">
        <v>20</v>
      </c>
      <c r="O11" s="157">
        <v>303</v>
      </c>
      <c r="P11" s="157">
        <v>0</v>
      </c>
      <c r="Q11" s="157">
        <v>7</v>
      </c>
      <c r="R11" s="158">
        <v>578</v>
      </c>
      <c r="S11" s="158">
        <v>0</v>
      </c>
      <c r="T11" s="158">
        <v>9</v>
      </c>
      <c r="U11" s="129" t="s">
        <v>305</v>
      </c>
      <c r="V11" s="129" t="s">
        <v>305</v>
      </c>
      <c r="W11" s="129" t="s">
        <v>305</v>
      </c>
      <c r="X11" s="129">
        <v>303</v>
      </c>
      <c r="Y11" s="129">
        <v>2.5</v>
      </c>
      <c r="Z11" s="129">
        <v>300</v>
      </c>
      <c r="AA11" s="129">
        <v>2</v>
      </c>
      <c r="AB11" s="29">
        <v>2</v>
      </c>
      <c r="AC11" s="29">
        <v>0</v>
      </c>
      <c r="AD11" s="29">
        <v>0</v>
      </c>
      <c r="AE11" s="29">
        <v>2</v>
      </c>
      <c r="AF11" s="29">
        <v>0</v>
      </c>
      <c r="AG11" s="29">
        <v>0</v>
      </c>
      <c r="AH11" s="147">
        <v>999</v>
      </c>
      <c r="AI11" s="147">
        <v>999</v>
      </c>
      <c r="AJ11" s="148">
        <v>999</v>
      </c>
      <c r="AK11" s="129">
        <v>1</v>
      </c>
      <c r="AL11" s="129">
        <v>999</v>
      </c>
      <c r="AM11" s="129">
        <v>999</v>
      </c>
      <c r="AN11" s="129">
        <v>999</v>
      </c>
      <c r="AO11" s="129">
        <v>999</v>
      </c>
      <c r="AP11" s="129">
        <v>999</v>
      </c>
      <c r="AQ11" s="129">
        <v>999</v>
      </c>
      <c r="AR11" s="129">
        <v>999</v>
      </c>
      <c r="AS11" s="129">
        <v>999</v>
      </c>
      <c r="AT11" s="129">
        <v>577</v>
      </c>
      <c r="AU11" s="29">
        <v>1</v>
      </c>
      <c r="AV11" s="29">
        <v>2</v>
      </c>
      <c r="AW11" s="29">
        <v>0</v>
      </c>
      <c r="AX11" s="29">
        <v>0</v>
      </c>
      <c r="AY11" s="29">
        <v>0</v>
      </c>
      <c r="AZ11" s="149">
        <v>3</v>
      </c>
      <c r="BA11" s="149">
        <v>999</v>
      </c>
      <c r="BB11" s="149">
        <v>999</v>
      </c>
      <c r="BC11" s="149">
        <v>0</v>
      </c>
      <c r="BD11" s="149">
        <v>0</v>
      </c>
      <c r="BE11" s="27">
        <v>2</v>
      </c>
      <c r="BF11" s="129">
        <v>1</v>
      </c>
      <c r="BG11" s="129">
        <v>0</v>
      </c>
      <c r="BH11" s="150">
        <v>150</v>
      </c>
      <c r="BI11" s="29">
        <v>0.01</v>
      </c>
      <c r="BJ11" s="29">
        <v>2</v>
      </c>
      <c r="BK11" s="29">
        <v>1</v>
      </c>
      <c r="BL11" s="27">
        <v>0</v>
      </c>
      <c r="BM11" s="129">
        <v>467</v>
      </c>
      <c r="BN11" s="129">
        <v>60</v>
      </c>
      <c r="BO11" s="129">
        <v>2</v>
      </c>
      <c r="BP11" s="129" t="s">
        <v>305</v>
      </c>
      <c r="BQ11" s="129" t="s">
        <v>305</v>
      </c>
      <c r="BR11" s="129" t="s">
        <v>305</v>
      </c>
      <c r="BS11" s="129">
        <v>1</v>
      </c>
      <c r="BT11" s="150">
        <v>0</v>
      </c>
      <c r="BU11" s="129">
        <v>999</v>
      </c>
      <c r="BV11" s="129" t="s">
        <v>369</v>
      </c>
      <c r="BW11" s="146">
        <v>2</v>
      </c>
      <c r="BX11" s="151">
        <v>0</v>
      </c>
      <c r="BY11" s="29">
        <v>1</v>
      </c>
      <c r="BZ11" s="29">
        <v>1</v>
      </c>
      <c r="CA11" s="27">
        <v>0</v>
      </c>
      <c r="CB11" s="29">
        <v>1</v>
      </c>
      <c r="CC11" s="29">
        <v>1</v>
      </c>
      <c r="CD11" s="29">
        <v>0</v>
      </c>
      <c r="CE11" s="29">
        <v>0</v>
      </c>
      <c r="CF11" s="29">
        <v>0</v>
      </c>
      <c r="CG11" s="29">
        <v>0</v>
      </c>
      <c r="CH11" s="27">
        <v>0</v>
      </c>
      <c r="CI11" s="27">
        <v>1</v>
      </c>
      <c r="CJ11" s="29">
        <v>2</v>
      </c>
      <c r="CK11" s="27">
        <v>0</v>
      </c>
      <c r="CL11" s="29">
        <v>2</v>
      </c>
      <c r="CM11" s="152">
        <v>2</v>
      </c>
      <c r="CN11" s="129">
        <v>1</v>
      </c>
      <c r="CO11" s="129">
        <v>2</v>
      </c>
      <c r="CP11" s="129">
        <v>0</v>
      </c>
      <c r="CQ11" s="150" t="s">
        <v>370</v>
      </c>
      <c r="CR11" s="153" t="s">
        <v>305</v>
      </c>
      <c r="CS11" s="153" t="s">
        <v>305</v>
      </c>
      <c r="CT11" s="153" t="s">
        <v>305</v>
      </c>
      <c r="CU11" s="153" t="s">
        <v>305</v>
      </c>
      <c r="CV11" s="153" t="s">
        <v>305</v>
      </c>
      <c r="CW11" s="153" t="s">
        <v>305</v>
      </c>
      <c r="CX11" s="153" t="s">
        <v>305</v>
      </c>
      <c r="CY11" s="153" t="s">
        <v>305</v>
      </c>
      <c r="CZ11" s="153" t="s">
        <v>305</v>
      </c>
      <c r="DA11" s="154" t="s">
        <v>305</v>
      </c>
      <c r="DB11" s="153" t="s">
        <v>305</v>
      </c>
      <c r="DC11" s="153" t="s">
        <v>305</v>
      </c>
      <c r="DD11" s="153" t="s">
        <v>305</v>
      </c>
      <c r="DE11" s="153" t="s">
        <v>305</v>
      </c>
      <c r="DF11" s="153" t="s">
        <v>305</v>
      </c>
      <c r="DG11" s="153" t="s">
        <v>305</v>
      </c>
      <c r="DH11" s="153" t="s">
        <v>305</v>
      </c>
      <c r="DI11" s="153" t="s">
        <v>305</v>
      </c>
      <c r="DJ11" s="153" t="s">
        <v>305</v>
      </c>
      <c r="DK11" s="154" t="s">
        <v>305</v>
      </c>
      <c r="DL11" s="153" t="s">
        <v>305</v>
      </c>
      <c r="DM11" s="153" t="s">
        <v>305</v>
      </c>
      <c r="DN11" s="153" t="s">
        <v>305</v>
      </c>
      <c r="DO11" s="153" t="s">
        <v>305</v>
      </c>
      <c r="DP11" s="153" t="s">
        <v>305</v>
      </c>
      <c r="DQ11" s="153" t="s">
        <v>305</v>
      </c>
      <c r="DR11" s="153" t="s">
        <v>305</v>
      </c>
      <c r="DS11" s="153" t="s">
        <v>305</v>
      </c>
      <c r="DT11" s="153" t="s">
        <v>305</v>
      </c>
      <c r="DU11" s="154" t="s">
        <v>305</v>
      </c>
      <c r="DV11" s="129">
        <v>1</v>
      </c>
      <c r="DW11" s="129">
        <v>0</v>
      </c>
      <c r="DX11" s="150">
        <v>0</v>
      </c>
      <c r="DY11" s="29">
        <v>1</v>
      </c>
      <c r="DZ11" s="29">
        <v>0</v>
      </c>
      <c r="EA11" s="29">
        <v>0</v>
      </c>
      <c r="EB11" s="29">
        <v>0</v>
      </c>
      <c r="EC11" s="29">
        <v>2</v>
      </c>
      <c r="ED11" s="29">
        <v>999</v>
      </c>
      <c r="EE11" s="27">
        <v>0</v>
      </c>
      <c r="EF11" s="29">
        <v>1</v>
      </c>
      <c r="EG11" s="28">
        <v>1</v>
      </c>
      <c r="EH11" s="28">
        <v>1</v>
      </c>
      <c r="EI11" s="29">
        <v>1</v>
      </c>
      <c r="EJ11" s="29">
        <v>0</v>
      </c>
      <c r="EK11" s="29">
        <v>0</v>
      </c>
      <c r="EL11" s="29">
        <v>999</v>
      </c>
      <c r="EM11" s="27">
        <v>0</v>
      </c>
      <c r="EN11" s="29">
        <v>1</v>
      </c>
      <c r="EO11" s="27">
        <v>999</v>
      </c>
      <c r="EP11" s="29">
        <v>1</v>
      </c>
      <c r="EQ11" s="29">
        <v>0</v>
      </c>
      <c r="ER11" s="27">
        <v>0</v>
      </c>
      <c r="ES11" s="29">
        <v>1</v>
      </c>
      <c r="ET11" s="29">
        <v>0</v>
      </c>
      <c r="EU11" s="29">
        <v>0</v>
      </c>
      <c r="EV11" s="29">
        <v>999</v>
      </c>
      <c r="EW11" s="29">
        <v>0</v>
      </c>
      <c r="EX11" s="29">
        <v>999</v>
      </c>
      <c r="EY11" s="27">
        <v>0</v>
      </c>
      <c r="EZ11" s="146">
        <v>2</v>
      </c>
      <c r="FA11" s="151">
        <v>999</v>
      </c>
      <c r="FB11">
        <v>2</v>
      </c>
      <c r="FC11">
        <v>0</v>
      </c>
      <c r="FD11">
        <v>0</v>
      </c>
      <c r="FE11">
        <v>0</v>
      </c>
      <c r="FF11" s="4">
        <v>0</v>
      </c>
      <c r="FG11">
        <v>2</v>
      </c>
      <c r="FH11">
        <v>0</v>
      </c>
      <c r="FI11">
        <v>0</v>
      </c>
      <c r="FJ11">
        <v>0</v>
      </c>
      <c r="FK11" s="4">
        <v>0</v>
      </c>
      <c r="FL11" s="4">
        <v>2</v>
      </c>
    </row>
    <row r="12" spans="1:168" s="165" customFormat="1" ht="15" customHeight="1" x14ac:dyDescent="0.3">
      <c r="A12" s="165" t="s">
        <v>319</v>
      </c>
      <c r="B12" s="170">
        <v>999</v>
      </c>
      <c r="C12" s="170">
        <v>1</v>
      </c>
      <c r="D12" s="170">
        <v>0</v>
      </c>
      <c r="E12" s="170">
        <v>0</v>
      </c>
      <c r="F12" s="170">
        <v>0</v>
      </c>
      <c r="G12" s="170">
        <v>0</v>
      </c>
      <c r="H12" s="170">
        <v>0</v>
      </c>
      <c r="I12" s="171">
        <v>1</v>
      </c>
      <c r="J12" s="171">
        <v>0.14000000000000001</v>
      </c>
      <c r="K12" s="171">
        <v>5</v>
      </c>
      <c r="L12" s="228">
        <v>215</v>
      </c>
      <c r="M12" s="228">
        <v>0</v>
      </c>
      <c r="N12" s="228">
        <v>8</v>
      </c>
      <c r="O12" s="225"/>
      <c r="P12" s="225"/>
      <c r="Q12" s="225"/>
      <c r="R12" s="170" t="s">
        <v>305</v>
      </c>
      <c r="S12" s="170" t="s">
        <v>305</v>
      </c>
      <c r="T12" s="170" t="s">
        <v>305</v>
      </c>
      <c r="U12" s="170" t="s">
        <v>305</v>
      </c>
      <c r="V12" s="170" t="s">
        <v>305</v>
      </c>
      <c r="W12" s="170" t="s">
        <v>305</v>
      </c>
      <c r="X12" s="170">
        <v>215</v>
      </c>
      <c r="Y12" s="170">
        <v>2</v>
      </c>
      <c r="Z12" s="170">
        <v>142.85714285714286</v>
      </c>
      <c r="AA12" s="170">
        <v>1</v>
      </c>
      <c r="AB12" s="173">
        <v>2</v>
      </c>
      <c r="AC12" s="173">
        <v>0</v>
      </c>
      <c r="AD12" s="173">
        <v>0</v>
      </c>
      <c r="AE12" s="173">
        <v>2</v>
      </c>
      <c r="AF12" s="173">
        <v>0</v>
      </c>
      <c r="AG12" s="173">
        <v>0</v>
      </c>
      <c r="AH12" s="174">
        <v>999</v>
      </c>
      <c r="AI12" s="174">
        <v>999</v>
      </c>
      <c r="AJ12" s="175">
        <v>999</v>
      </c>
      <c r="AK12" s="170">
        <v>1</v>
      </c>
      <c r="AL12" s="170">
        <v>999</v>
      </c>
      <c r="AM12" s="170">
        <v>999</v>
      </c>
      <c r="AN12" s="170">
        <v>999</v>
      </c>
      <c r="AO12" s="170">
        <v>999</v>
      </c>
      <c r="AP12" s="170">
        <v>999</v>
      </c>
      <c r="AQ12" s="170">
        <v>999</v>
      </c>
      <c r="AR12" s="170">
        <v>999</v>
      </c>
      <c r="AS12" s="170">
        <v>999</v>
      </c>
      <c r="AT12" s="170">
        <v>334</v>
      </c>
      <c r="AU12" s="173">
        <v>1</v>
      </c>
      <c r="AV12" s="173">
        <v>2</v>
      </c>
      <c r="AW12" s="173">
        <v>0</v>
      </c>
      <c r="AX12" s="173">
        <v>0</v>
      </c>
      <c r="AY12" s="173">
        <v>0</v>
      </c>
      <c r="AZ12" s="176">
        <v>3</v>
      </c>
      <c r="BA12" s="176">
        <v>999</v>
      </c>
      <c r="BB12" s="176">
        <v>999</v>
      </c>
      <c r="BC12" s="176">
        <v>0</v>
      </c>
      <c r="BD12" s="176">
        <v>0</v>
      </c>
      <c r="BE12" s="177">
        <v>2</v>
      </c>
      <c r="BF12" s="170">
        <v>1</v>
      </c>
      <c r="BG12" s="170">
        <v>0</v>
      </c>
      <c r="BH12" s="178">
        <v>150</v>
      </c>
      <c r="BI12" s="173">
        <v>0.01</v>
      </c>
      <c r="BJ12" s="173">
        <v>2</v>
      </c>
      <c r="BK12" s="173">
        <v>1</v>
      </c>
      <c r="BL12" s="177">
        <v>0</v>
      </c>
      <c r="BM12" s="170" t="s">
        <v>305</v>
      </c>
      <c r="BN12" s="170" t="s">
        <v>305</v>
      </c>
      <c r="BO12" s="170" t="s">
        <v>305</v>
      </c>
      <c r="BP12" s="170" t="s">
        <v>305</v>
      </c>
      <c r="BQ12" s="170" t="s">
        <v>305</v>
      </c>
      <c r="BR12" s="170" t="s">
        <v>305</v>
      </c>
      <c r="BS12" s="170">
        <v>1</v>
      </c>
      <c r="BT12" s="178">
        <v>0</v>
      </c>
      <c r="BU12" s="170">
        <v>999</v>
      </c>
      <c r="BV12" s="170" t="s">
        <v>371</v>
      </c>
      <c r="BW12" s="171">
        <v>2</v>
      </c>
      <c r="BX12" s="179">
        <v>0</v>
      </c>
      <c r="BY12" s="173">
        <v>1</v>
      </c>
      <c r="BZ12" s="173">
        <v>1</v>
      </c>
      <c r="CA12" s="177">
        <v>0</v>
      </c>
      <c r="CB12" s="173">
        <v>1</v>
      </c>
      <c r="CC12" s="173">
        <v>1</v>
      </c>
      <c r="CD12" s="173">
        <v>0</v>
      </c>
      <c r="CE12" s="173">
        <v>0</v>
      </c>
      <c r="CF12" s="173">
        <v>0</v>
      </c>
      <c r="CG12" s="173">
        <v>0</v>
      </c>
      <c r="CH12" s="177">
        <v>0</v>
      </c>
      <c r="CI12" s="177">
        <v>1</v>
      </c>
      <c r="CJ12" s="173">
        <v>2</v>
      </c>
      <c r="CK12" s="177">
        <v>0</v>
      </c>
      <c r="CL12" s="173">
        <v>2</v>
      </c>
      <c r="CM12" s="180">
        <v>2</v>
      </c>
      <c r="CN12" s="170">
        <v>1</v>
      </c>
      <c r="CO12" s="170">
        <v>2</v>
      </c>
      <c r="CP12" s="170">
        <v>0</v>
      </c>
      <c r="CQ12" s="178" t="s">
        <v>370</v>
      </c>
      <c r="CR12" s="181" t="s">
        <v>305</v>
      </c>
      <c r="CS12" s="181" t="s">
        <v>305</v>
      </c>
      <c r="CT12" s="181" t="s">
        <v>305</v>
      </c>
      <c r="CU12" s="181" t="s">
        <v>305</v>
      </c>
      <c r="CV12" s="181" t="s">
        <v>305</v>
      </c>
      <c r="CW12" s="181" t="s">
        <v>305</v>
      </c>
      <c r="CX12" s="181" t="s">
        <v>305</v>
      </c>
      <c r="CY12" s="181" t="s">
        <v>305</v>
      </c>
      <c r="CZ12" s="181" t="s">
        <v>305</v>
      </c>
      <c r="DA12" s="182" t="s">
        <v>305</v>
      </c>
      <c r="DB12" s="181" t="s">
        <v>305</v>
      </c>
      <c r="DC12" s="181" t="s">
        <v>305</v>
      </c>
      <c r="DD12" s="181" t="s">
        <v>305</v>
      </c>
      <c r="DE12" s="181" t="s">
        <v>305</v>
      </c>
      <c r="DF12" s="181" t="s">
        <v>305</v>
      </c>
      <c r="DG12" s="181" t="s">
        <v>305</v>
      </c>
      <c r="DH12" s="181" t="s">
        <v>305</v>
      </c>
      <c r="DI12" s="181" t="s">
        <v>305</v>
      </c>
      <c r="DJ12" s="181" t="s">
        <v>305</v>
      </c>
      <c r="DK12" s="182" t="s">
        <v>305</v>
      </c>
      <c r="DL12" s="181" t="s">
        <v>305</v>
      </c>
      <c r="DM12" s="181" t="s">
        <v>305</v>
      </c>
      <c r="DN12" s="181" t="s">
        <v>305</v>
      </c>
      <c r="DO12" s="181" t="s">
        <v>305</v>
      </c>
      <c r="DP12" s="181" t="s">
        <v>305</v>
      </c>
      <c r="DQ12" s="181" t="s">
        <v>305</v>
      </c>
      <c r="DR12" s="181" t="s">
        <v>305</v>
      </c>
      <c r="DS12" s="181" t="s">
        <v>305</v>
      </c>
      <c r="DT12" s="181" t="s">
        <v>305</v>
      </c>
      <c r="DU12" s="182" t="s">
        <v>305</v>
      </c>
      <c r="DV12" s="170">
        <v>1</v>
      </c>
      <c r="DW12" s="170">
        <v>0</v>
      </c>
      <c r="DX12" s="178">
        <v>0</v>
      </c>
      <c r="DY12" s="173">
        <v>1</v>
      </c>
      <c r="DZ12" s="173">
        <v>0</v>
      </c>
      <c r="EA12" s="173">
        <v>0</v>
      </c>
      <c r="EB12" s="173">
        <v>0</v>
      </c>
      <c r="EC12" s="173">
        <v>2</v>
      </c>
      <c r="ED12" s="173">
        <v>999</v>
      </c>
      <c r="EE12" s="177">
        <v>0</v>
      </c>
      <c r="EF12" s="173">
        <v>1</v>
      </c>
      <c r="EG12" s="183">
        <v>1</v>
      </c>
      <c r="EH12" s="183">
        <v>1</v>
      </c>
      <c r="EI12" s="173">
        <v>1</v>
      </c>
      <c r="EJ12" s="173">
        <v>0</v>
      </c>
      <c r="EK12" s="173">
        <v>0</v>
      </c>
      <c r="EL12" s="173">
        <v>999</v>
      </c>
      <c r="EM12" s="177">
        <v>0</v>
      </c>
      <c r="EN12" s="173">
        <v>1</v>
      </c>
      <c r="EO12" s="177">
        <v>999</v>
      </c>
      <c r="EP12" s="173">
        <v>1</v>
      </c>
      <c r="EQ12" s="173">
        <v>0</v>
      </c>
      <c r="ER12" s="177">
        <v>0</v>
      </c>
      <c r="ES12" s="173">
        <v>1</v>
      </c>
      <c r="ET12" s="173">
        <v>0</v>
      </c>
      <c r="EU12" s="173">
        <v>0</v>
      </c>
      <c r="EV12" s="173">
        <v>999</v>
      </c>
      <c r="EW12" s="173">
        <v>0</v>
      </c>
      <c r="EX12" s="173">
        <v>999</v>
      </c>
      <c r="EY12" s="177">
        <v>0</v>
      </c>
      <c r="EZ12" s="171">
        <v>2</v>
      </c>
      <c r="FA12" s="179">
        <v>999</v>
      </c>
      <c r="FB12" s="169">
        <v>2</v>
      </c>
      <c r="FC12" s="169">
        <v>0</v>
      </c>
      <c r="FD12" s="169">
        <v>0</v>
      </c>
      <c r="FE12" s="169">
        <v>0</v>
      </c>
      <c r="FF12" s="184">
        <v>0</v>
      </c>
      <c r="FG12" s="169">
        <v>2</v>
      </c>
      <c r="FH12" s="169">
        <v>0</v>
      </c>
      <c r="FI12" s="169">
        <v>0</v>
      </c>
      <c r="FJ12" s="169">
        <v>0</v>
      </c>
      <c r="FK12" s="184">
        <v>0</v>
      </c>
      <c r="FL12" s="184">
        <v>2</v>
      </c>
    </row>
    <row r="13" spans="1:168" s="186" customFormat="1" ht="15" customHeight="1" x14ac:dyDescent="0.3">
      <c r="A13" s="186" t="s">
        <v>321</v>
      </c>
      <c r="B13" s="187">
        <v>999</v>
      </c>
      <c r="C13" s="187">
        <v>1</v>
      </c>
      <c r="D13" s="187">
        <v>0</v>
      </c>
      <c r="E13" s="187">
        <v>0</v>
      </c>
      <c r="F13" s="187">
        <v>0</v>
      </c>
      <c r="G13" s="187">
        <v>0</v>
      </c>
      <c r="H13" s="187">
        <v>0</v>
      </c>
      <c r="I13" s="188">
        <v>1</v>
      </c>
      <c r="J13" s="188">
        <v>0.14000000000000001</v>
      </c>
      <c r="K13" s="188">
        <v>5</v>
      </c>
      <c r="L13" s="189">
        <v>111</v>
      </c>
      <c r="M13" s="189">
        <v>0</v>
      </c>
      <c r="N13" s="189">
        <v>7</v>
      </c>
      <c r="O13" s="187" t="s">
        <v>305</v>
      </c>
      <c r="P13" s="187" t="s">
        <v>305</v>
      </c>
      <c r="Q13" s="187" t="s">
        <v>305</v>
      </c>
      <c r="R13" s="187" t="s">
        <v>305</v>
      </c>
      <c r="S13" s="187" t="s">
        <v>305</v>
      </c>
      <c r="T13" s="187" t="s">
        <v>305</v>
      </c>
      <c r="U13" s="187" t="s">
        <v>305</v>
      </c>
      <c r="V13" s="187" t="s">
        <v>305</v>
      </c>
      <c r="W13" s="187" t="s">
        <v>305</v>
      </c>
      <c r="X13" s="187">
        <v>111</v>
      </c>
      <c r="Y13" s="187">
        <v>1</v>
      </c>
      <c r="Z13" s="187">
        <v>837.43842364532031</v>
      </c>
      <c r="AA13" s="187">
        <v>1</v>
      </c>
      <c r="AB13" s="190">
        <v>2</v>
      </c>
      <c r="AC13" s="190">
        <v>0</v>
      </c>
      <c r="AD13" s="190">
        <v>0</v>
      </c>
      <c r="AE13" s="190">
        <v>2</v>
      </c>
      <c r="AF13" s="190">
        <v>0</v>
      </c>
      <c r="AG13" s="190">
        <v>0</v>
      </c>
      <c r="AH13" s="191">
        <v>999</v>
      </c>
      <c r="AI13" s="191">
        <v>999</v>
      </c>
      <c r="AJ13" s="192">
        <v>999</v>
      </c>
      <c r="AK13" s="187">
        <v>1</v>
      </c>
      <c r="AL13" s="187">
        <v>999</v>
      </c>
      <c r="AM13" s="187">
        <v>999</v>
      </c>
      <c r="AN13" s="187">
        <v>999</v>
      </c>
      <c r="AO13" s="187">
        <v>999</v>
      </c>
      <c r="AP13" s="187">
        <v>999</v>
      </c>
      <c r="AQ13" s="187">
        <v>999</v>
      </c>
      <c r="AR13" s="187">
        <v>999</v>
      </c>
      <c r="AS13" s="187">
        <v>999</v>
      </c>
      <c r="AT13" s="187">
        <v>999</v>
      </c>
      <c r="AU13" s="190">
        <v>1</v>
      </c>
      <c r="AV13" s="190">
        <v>2</v>
      </c>
      <c r="AW13" s="190">
        <v>0</v>
      </c>
      <c r="AX13" s="190">
        <v>0</v>
      </c>
      <c r="AY13" s="190">
        <v>0</v>
      </c>
      <c r="AZ13" s="193">
        <v>3</v>
      </c>
      <c r="BA13" s="193">
        <v>999</v>
      </c>
      <c r="BB13" s="193">
        <v>999</v>
      </c>
      <c r="BC13" s="193">
        <v>0</v>
      </c>
      <c r="BD13" s="193">
        <v>0</v>
      </c>
      <c r="BE13" s="194">
        <v>2</v>
      </c>
      <c r="BF13" s="187">
        <v>1</v>
      </c>
      <c r="BG13" s="187">
        <v>0</v>
      </c>
      <c r="BH13" s="195">
        <v>150</v>
      </c>
      <c r="BI13" s="190">
        <v>0.01</v>
      </c>
      <c r="BJ13" s="190">
        <v>2</v>
      </c>
      <c r="BK13" s="190">
        <v>1</v>
      </c>
      <c r="BL13" s="194">
        <v>0</v>
      </c>
      <c r="BM13" s="187" t="s">
        <v>305</v>
      </c>
      <c r="BN13" s="187" t="s">
        <v>305</v>
      </c>
      <c r="BO13" s="187" t="s">
        <v>305</v>
      </c>
      <c r="BP13" s="187" t="s">
        <v>305</v>
      </c>
      <c r="BQ13" s="187" t="s">
        <v>305</v>
      </c>
      <c r="BR13" s="187" t="s">
        <v>305</v>
      </c>
      <c r="BS13" s="187">
        <v>1</v>
      </c>
      <c r="BT13" s="195">
        <v>0</v>
      </c>
      <c r="BU13" s="187">
        <v>999</v>
      </c>
      <c r="BV13" s="196" t="s">
        <v>381</v>
      </c>
      <c r="BW13" s="188">
        <v>2</v>
      </c>
      <c r="BX13" s="197">
        <v>0</v>
      </c>
      <c r="BY13" s="190">
        <v>1</v>
      </c>
      <c r="BZ13" s="190">
        <v>1</v>
      </c>
      <c r="CA13" s="194">
        <v>0</v>
      </c>
      <c r="CB13" s="190">
        <v>1</v>
      </c>
      <c r="CC13" s="190">
        <v>1</v>
      </c>
      <c r="CD13" s="190">
        <v>0</v>
      </c>
      <c r="CE13" s="190">
        <v>0</v>
      </c>
      <c r="CF13" s="190">
        <v>0</v>
      </c>
      <c r="CG13" s="190">
        <v>0</v>
      </c>
      <c r="CH13" s="194">
        <v>0</v>
      </c>
      <c r="CI13" s="194">
        <v>1</v>
      </c>
      <c r="CJ13" s="190">
        <v>2</v>
      </c>
      <c r="CK13" s="194">
        <v>0</v>
      </c>
      <c r="CL13" s="190">
        <v>1</v>
      </c>
      <c r="CM13" s="198">
        <v>1</v>
      </c>
      <c r="CN13" s="187">
        <v>1</v>
      </c>
      <c r="CO13" s="187">
        <v>2</v>
      </c>
      <c r="CP13" s="187">
        <v>0</v>
      </c>
      <c r="CQ13" s="195" t="s">
        <v>370</v>
      </c>
      <c r="CR13" s="199">
        <v>204</v>
      </c>
      <c r="CS13" s="199">
        <v>0</v>
      </c>
      <c r="CT13" s="200">
        <v>7.0000000000000007E-2</v>
      </c>
      <c r="CU13" s="199">
        <v>0</v>
      </c>
      <c r="CV13" s="199">
        <v>0</v>
      </c>
      <c r="CW13" s="199">
        <v>0</v>
      </c>
      <c r="CX13" s="199">
        <v>1</v>
      </c>
      <c r="CY13" s="199">
        <v>1</v>
      </c>
      <c r="CZ13" s="199">
        <v>2</v>
      </c>
      <c r="DA13" s="201">
        <v>0</v>
      </c>
      <c r="DB13" s="199">
        <v>249</v>
      </c>
      <c r="DC13" s="199">
        <v>0</v>
      </c>
      <c r="DD13" s="200">
        <v>7.0000000000000007E-2</v>
      </c>
      <c r="DE13" s="199">
        <v>0</v>
      </c>
      <c r="DF13" s="199">
        <v>0</v>
      </c>
      <c r="DG13" s="199">
        <v>0</v>
      </c>
      <c r="DH13" s="199">
        <v>1</v>
      </c>
      <c r="DI13" s="199">
        <v>1</v>
      </c>
      <c r="DJ13" s="199">
        <v>2</v>
      </c>
      <c r="DK13" s="201">
        <v>0</v>
      </c>
      <c r="DL13" s="199"/>
      <c r="DM13" s="199"/>
      <c r="DN13" s="199"/>
      <c r="DO13" s="199"/>
      <c r="DP13" s="199"/>
      <c r="DQ13" s="199"/>
      <c r="DR13" s="199"/>
      <c r="DS13" s="199"/>
      <c r="DT13" s="199"/>
      <c r="DU13" s="201"/>
      <c r="DV13" s="187">
        <v>1</v>
      </c>
      <c r="DW13" s="187">
        <v>0</v>
      </c>
      <c r="DX13" s="195">
        <v>0</v>
      </c>
      <c r="DY13" s="190">
        <v>1</v>
      </c>
      <c r="DZ13" s="190">
        <v>0</v>
      </c>
      <c r="EA13" s="190">
        <v>0</v>
      </c>
      <c r="EB13" s="190">
        <v>0</v>
      </c>
      <c r="EC13" s="190">
        <v>2</v>
      </c>
      <c r="ED13" s="190">
        <v>999</v>
      </c>
      <c r="EE13" s="194">
        <v>0</v>
      </c>
      <c r="EF13" s="190">
        <v>1</v>
      </c>
      <c r="EG13" s="202">
        <v>1</v>
      </c>
      <c r="EH13" s="202">
        <v>1</v>
      </c>
      <c r="EI13" s="190">
        <v>1</v>
      </c>
      <c r="EJ13" s="190">
        <v>0</v>
      </c>
      <c r="EK13" s="190">
        <v>0</v>
      </c>
      <c r="EL13" s="190">
        <v>999</v>
      </c>
      <c r="EM13" s="194">
        <v>0</v>
      </c>
      <c r="EN13" s="190">
        <v>1</v>
      </c>
      <c r="EO13" s="194">
        <v>999</v>
      </c>
      <c r="EP13" s="190">
        <v>1</v>
      </c>
      <c r="EQ13" s="190">
        <v>0</v>
      </c>
      <c r="ER13" s="194">
        <v>0</v>
      </c>
      <c r="ES13" s="190">
        <v>1</v>
      </c>
      <c r="ET13" s="190">
        <v>0</v>
      </c>
      <c r="EU13" s="190">
        <v>0</v>
      </c>
      <c r="EV13" s="190">
        <v>999</v>
      </c>
      <c r="EW13" s="190">
        <v>0</v>
      </c>
      <c r="EX13" s="190">
        <v>999</v>
      </c>
      <c r="EY13" s="194">
        <v>0</v>
      </c>
      <c r="EZ13" s="188">
        <v>2</v>
      </c>
      <c r="FA13" s="197">
        <v>999</v>
      </c>
      <c r="FB13" s="203">
        <v>2</v>
      </c>
      <c r="FC13" s="203">
        <v>0</v>
      </c>
      <c r="FD13" s="203">
        <v>0</v>
      </c>
      <c r="FE13" s="203">
        <v>0</v>
      </c>
      <c r="FF13" s="204">
        <v>0</v>
      </c>
      <c r="FG13" s="203">
        <v>2</v>
      </c>
      <c r="FH13" s="203">
        <v>0</v>
      </c>
      <c r="FI13" s="203">
        <v>0</v>
      </c>
      <c r="FJ13" s="203">
        <v>0</v>
      </c>
      <c r="FK13" s="204">
        <v>0</v>
      </c>
      <c r="FL13" s="204">
        <v>2</v>
      </c>
    </row>
    <row r="14" spans="1:168" s="186" customFormat="1" ht="15" customHeight="1" x14ac:dyDescent="0.3">
      <c r="A14" s="186" t="s">
        <v>324</v>
      </c>
      <c r="B14" s="187">
        <v>999</v>
      </c>
      <c r="C14" s="187">
        <v>1</v>
      </c>
      <c r="D14" s="187">
        <v>0</v>
      </c>
      <c r="E14" s="187">
        <v>0</v>
      </c>
      <c r="F14" s="187">
        <v>0</v>
      </c>
      <c r="G14" s="187">
        <v>0</v>
      </c>
      <c r="H14" s="187">
        <v>0</v>
      </c>
      <c r="I14" s="188">
        <v>1</v>
      </c>
      <c r="J14" s="188">
        <v>0.14000000000000001</v>
      </c>
      <c r="K14" s="188">
        <v>5</v>
      </c>
      <c r="L14" s="205">
        <v>615</v>
      </c>
      <c r="M14" s="205">
        <v>0</v>
      </c>
      <c r="N14" s="205">
        <v>8</v>
      </c>
      <c r="O14" s="187" t="s">
        <v>305</v>
      </c>
      <c r="P14" s="187" t="s">
        <v>305</v>
      </c>
      <c r="Q14" s="187" t="s">
        <v>305</v>
      </c>
      <c r="R14" s="187" t="s">
        <v>305</v>
      </c>
      <c r="S14" s="187" t="s">
        <v>305</v>
      </c>
      <c r="T14" s="187" t="s">
        <v>305</v>
      </c>
      <c r="U14" s="187" t="s">
        <v>305</v>
      </c>
      <c r="V14" s="187" t="s">
        <v>305</v>
      </c>
      <c r="W14" s="187" t="s">
        <v>305</v>
      </c>
      <c r="X14" s="187">
        <v>251</v>
      </c>
      <c r="Y14" s="187">
        <v>1</v>
      </c>
      <c r="Z14" s="187">
        <v>1200</v>
      </c>
      <c r="AA14" s="187">
        <v>1</v>
      </c>
      <c r="AB14" s="190">
        <v>2</v>
      </c>
      <c r="AC14" s="190">
        <v>0</v>
      </c>
      <c r="AD14" s="190">
        <v>0</v>
      </c>
      <c r="AE14" s="190">
        <v>2</v>
      </c>
      <c r="AF14" s="190">
        <v>0</v>
      </c>
      <c r="AG14" s="190">
        <v>0</v>
      </c>
      <c r="AH14" s="191">
        <v>999</v>
      </c>
      <c r="AI14" s="191">
        <v>999</v>
      </c>
      <c r="AJ14" s="192">
        <v>999</v>
      </c>
      <c r="AK14" s="187">
        <v>1</v>
      </c>
      <c r="AL14" s="187">
        <v>999</v>
      </c>
      <c r="AM14" s="187">
        <v>999</v>
      </c>
      <c r="AN14" s="187">
        <v>999</v>
      </c>
      <c r="AO14" s="187">
        <v>999</v>
      </c>
      <c r="AP14" s="187">
        <v>999</v>
      </c>
      <c r="AQ14" s="187">
        <v>999</v>
      </c>
      <c r="AR14" s="187">
        <v>999</v>
      </c>
      <c r="AS14" s="187">
        <v>999</v>
      </c>
      <c r="AT14" s="187">
        <v>999</v>
      </c>
      <c r="AU14" s="190">
        <v>1</v>
      </c>
      <c r="AV14" s="190">
        <v>2</v>
      </c>
      <c r="AW14" s="190">
        <v>0</v>
      </c>
      <c r="AX14" s="190">
        <v>0</v>
      </c>
      <c r="AY14" s="190">
        <v>0</v>
      </c>
      <c r="AZ14" s="193">
        <v>3</v>
      </c>
      <c r="BA14" s="193">
        <v>999</v>
      </c>
      <c r="BB14" s="193">
        <v>999</v>
      </c>
      <c r="BC14" s="193">
        <v>0</v>
      </c>
      <c r="BD14" s="193">
        <v>0</v>
      </c>
      <c r="BE14" s="194">
        <v>2</v>
      </c>
      <c r="BF14" s="187">
        <v>1</v>
      </c>
      <c r="BG14" s="187">
        <v>0</v>
      </c>
      <c r="BH14" s="195">
        <v>150</v>
      </c>
      <c r="BI14" s="190">
        <v>0.01</v>
      </c>
      <c r="BJ14" s="190">
        <v>2</v>
      </c>
      <c r="BK14" s="190">
        <v>1</v>
      </c>
      <c r="BL14" s="194">
        <v>0</v>
      </c>
      <c r="BM14" s="187" t="s">
        <v>305</v>
      </c>
      <c r="BN14" s="187" t="s">
        <v>305</v>
      </c>
      <c r="BO14" s="187" t="s">
        <v>305</v>
      </c>
      <c r="BP14" s="187" t="s">
        <v>305</v>
      </c>
      <c r="BQ14" s="187" t="s">
        <v>305</v>
      </c>
      <c r="BR14" s="187" t="s">
        <v>305</v>
      </c>
      <c r="BS14" s="187">
        <v>1</v>
      </c>
      <c r="BT14" s="195">
        <v>0</v>
      </c>
      <c r="BU14" s="187">
        <v>999</v>
      </c>
      <c r="BV14" s="196" t="s">
        <v>381</v>
      </c>
      <c r="BW14" s="188">
        <v>2</v>
      </c>
      <c r="BX14" s="197">
        <v>0</v>
      </c>
      <c r="BY14" s="190">
        <v>1</v>
      </c>
      <c r="BZ14" s="190">
        <v>1</v>
      </c>
      <c r="CA14" s="194">
        <v>0</v>
      </c>
      <c r="CB14" s="190">
        <v>1</v>
      </c>
      <c r="CC14" s="190">
        <v>1</v>
      </c>
      <c r="CD14" s="190">
        <v>0</v>
      </c>
      <c r="CE14" s="190">
        <v>0</v>
      </c>
      <c r="CF14" s="190">
        <v>0</v>
      </c>
      <c r="CG14" s="190">
        <v>0</v>
      </c>
      <c r="CH14" s="194">
        <v>0</v>
      </c>
      <c r="CI14" s="194">
        <v>1</v>
      </c>
      <c r="CJ14" s="190">
        <v>2</v>
      </c>
      <c r="CK14" s="194">
        <v>0</v>
      </c>
      <c r="CL14" s="190">
        <v>1</v>
      </c>
      <c r="CM14" s="198">
        <v>1</v>
      </c>
      <c r="CN14" s="187">
        <v>1</v>
      </c>
      <c r="CO14" s="187">
        <v>2</v>
      </c>
      <c r="CP14" s="187">
        <v>0</v>
      </c>
      <c r="CQ14" s="195" t="s">
        <v>370</v>
      </c>
      <c r="CR14" s="199">
        <v>508</v>
      </c>
      <c r="CS14" s="199">
        <v>0</v>
      </c>
      <c r="CT14" s="200">
        <v>7.0000000000000007E-2</v>
      </c>
      <c r="CU14" s="199">
        <v>0</v>
      </c>
      <c r="CV14" s="199">
        <v>0</v>
      </c>
      <c r="CW14" s="199">
        <v>0</v>
      </c>
      <c r="CX14" s="199">
        <v>1</v>
      </c>
      <c r="CY14" s="199">
        <v>1</v>
      </c>
      <c r="CZ14" s="199">
        <v>2</v>
      </c>
      <c r="DA14" s="201">
        <v>0</v>
      </c>
      <c r="DB14" s="199">
        <v>550</v>
      </c>
      <c r="DC14" s="199">
        <v>0</v>
      </c>
      <c r="DD14" s="200">
        <v>7.0000000000000007E-2</v>
      </c>
      <c r="DE14" s="199">
        <v>0</v>
      </c>
      <c r="DF14" s="199">
        <v>0</v>
      </c>
      <c r="DG14" s="199">
        <v>0</v>
      </c>
      <c r="DH14" s="199">
        <v>1</v>
      </c>
      <c r="DI14" s="199">
        <v>1</v>
      </c>
      <c r="DJ14" s="199">
        <v>2</v>
      </c>
      <c r="DK14" s="201">
        <v>0</v>
      </c>
      <c r="DL14" s="231">
        <v>600</v>
      </c>
      <c r="DM14" s="231">
        <v>0</v>
      </c>
      <c r="DN14" s="232">
        <v>7.0000000000000007E-2</v>
      </c>
      <c r="DO14" s="231">
        <v>0</v>
      </c>
      <c r="DP14" s="231">
        <v>0</v>
      </c>
      <c r="DQ14" s="231">
        <v>0</v>
      </c>
      <c r="DR14" s="231">
        <v>1</v>
      </c>
      <c r="DS14" s="231">
        <v>1</v>
      </c>
      <c r="DT14" s="231">
        <v>2</v>
      </c>
      <c r="DU14" s="233">
        <v>0</v>
      </c>
      <c r="DV14" s="199">
        <v>1</v>
      </c>
      <c r="DW14" s="199">
        <v>0</v>
      </c>
      <c r="DX14" s="195">
        <v>0</v>
      </c>
      <c r="DY14" s="199">
        <v>1</v>
      </c>
      <c r="DZ14" s="199">
        <v>0</v>
      </c>
      <c r="EA14" s="199">
        <v>0</v>
      </c>
      <c r="EB14" s="199">
        <v>0</v>
      </c>
      <c r="EC14" s="199">
        <v>2</v>
      </c>
      <c r="ED14" s="199">
        <v>999</v>
      </c>
      <c r="EE14" s="194">
        <v>0</v>
      </c>
      <c r="EF14" s="190">
        <v>1</v>
      </c>
      <c r="EG14" s="202">
        <v>1</v>
      </c>
      <c r="EH14" s="202">
        <v>1</v>
      </c>
      <c r="EI14" s="190">
        <v>1</v>
      </c>
      <c r="EJ14" s="190">
        <v>0</v>
      </c>
      <c r="EK14" s="190">
        <v>0</v>
      </c>
      <c r="EL14" s="190">
        <v>999</v>
      </c>
      <c r="EM14" s="194">
        <v>0</v>
      </c>
      <c r="EN14" s="190">
        <v>1</v>
      </c>
      <c r="EO14" s="194">
        <v>999</v>
      </c>
      <c r="EP14" s="190">
        <v>1</v>
      </c>
      <c r="EQ14" s="190">
        <v>0</v>
      </c>
      <c r="ER14" s="194">
        <v>0</v>
      </c>
      <c r="ES14" s="190">
        <v>1</v>
      </c>
      <c r="ET14" s="190">
        <v>0</v>
      </c>
      <c r="EU14" s="190">
        <v>0</v>
      </c>
      <c r="EV14" s="190">
        <v>999</v>
      </c>
      <c r="EW14" s="190">
        <v>0</v>
      </c>
      <c r="EX14" s="190">
        <v>999</v>
      </c>
      <c r="EY14" s="194">
        <v>0</v>
      </c>
      <c r="EZ14" s="188">
        <v>1</v>
      </c>
      <c r="FA14" s="197">
        <v>614</v>
      </c>
      <c r="FB14" s="203">
        <v>2</v>
      </c>
      <c r="FC14" s="203">
        <v>0</v>
      </c>
      <c r="FD14" s="203">
        <v>0</v>
      </c>
      <c r="FE14" s="203">
        <v>0</v>
      </c>
      <c r="FF14" s="204">
        <v>0</v>
      </c>
      <c r="FG14" s="203">
        <v>2</v>
      </c>
      <c r="FH14" s="203">
        <v>0</v>
      </c>
      <c r="FI14" s="203">
        <v>0</v>
      </c>
      <c r="FJ14" s="203">
        <v>0</v>
      </c>
      <c r="FK14" s="204">
        <v>0</v>
      </c>
      <c r="FL14" s="204">
        <v>2</v>
      </c>
    </row>
    <row r="15" spans="1:168" s="31" customFormat="1" ht="15" customHeight="1" x14ac:dyDescent="0.3">
      <c r="A15" s="31" t="s">
        <v>326</v>
      </c>
      <c r="B15" s="129">
        <v>999</v>
      </c>
      <c r="C15" s="129">
        <v>1</v>
      </c>
      <c r="D15" s="129">
        <v>0</v>
      </c>
      <c r="E15" s="129">
        <v>0</v>
      </c>
      <c r="F15" s="129">
        <v>0</v>
      </c>
      <c r="G15" s="129">
        <v>0</v>
      </c>
      <c r="H15" s="129">
        <v>0</v>
      </c>
      <c r="I15" s="146">
        <v>1</v>
      </c>
      <c r="J15" s="146">
        <v>0.14000000000000001</v>
      </c>
      <c r="K15" s="146">
        <v>5</v>
      </c>
      <c r="L15" s="158">
        <v>256</v>
      </c>
      <c r="M15" s="158">
        <v>0</v>
      </c>
      <c r="N15" s="158">
        <v>20</v>
      </c>
      <c r="O15" s="160">
        <v>291</v>
      </c>
      <c r="P15" s="160">
        <v>0</v>
      </c>
      <c r="Q15" s="160">
        <v>8</v>
      </c>
      <c r="R15" s="159">
        <v>304</v>
      </c>
      <c r="S15" s="159">
        <v>0</v>
      </c>
      <c r="T15" s="159">
        <v>2</v>
      </c>
      <c r="U15" s="129" t="s">
        <v>305</v>
      </c>
      <c r="V15" s="129" t="s">
        <v>305</v>
      </c>
      <c r="W15" s="129" t="s">
        <v>305</v>
      </c>
      <c r="X15" s="129">
        <v>291</v>
      </c>
      <c r="Y15" s="129">
        <v>2.5</v>
      </c>
      <c r="Z15" s="129">
        <v>220</v>
      </c>
      <c r="AA15" s="129">
        <v>9</v>
      </c>
      <c r="AB15" s="29">
        <v>2</v>
      </c>
      <c r="AC15" s="29">
        <v>0</v>
      </c>
      <c r="AD15" s="29">
        <v>0</v>
      </c>
      <c r="AE15" s="29">
        <v>2</v>
      </c>
      <c r="AF15" s="29">
        <v>0</v>
      </c>
      <c r="AG15" s="29">
        <v>0</v>
      </c>
      <c r="AH15" s="147">
        <v>999</v>
      </c>
      <c r="AI15" s="147">
        <v>999</v>
      </c>
      <c r="AJ15" s="148">
        <v>999</v>
      </c>
      <c r="AK15" s="129">
        <v>1</v>
      </c>
      <c r="AL15" s="129">
        <v>999</v>
      </c>
      <c r="AM15" s="129">
        <v>999</v>
      </c>
      <c r="AN15" s="129">
        <v>999</v>
      </c>
      <c r="AO15" s="129">
        <v>999</v>
      </c>
      <c r="AP15" s="129">
        <v>999</v>
      </c>
      <c r="AQ15" s="129">
        <v>999</v>
      </c>
      <c r="AR15" s="129">
        <v>999</v>
      </c>
      <c r="AS15" s="129">
        <v>999</v>
      </c>
      <c r="AT15" s="129">
        <v>563</v>
      </c>
      <c r="AU15" s="29">
        <v>1</v>
      </c>
      <c r="AV15" s="29">
        <v>2</v>
      </c>
      <c r="AW15" s="29">
        <v>0</v>
      </c>
      <c r="AX15" s="29">
        <v>0</v>
      </c>
      <c r="AY15" s="29">
        <v>0</v>
      </c>
      <c r="AZ15" s="149">
        <v>3</v>
      </c>
      <c r="BA15" s="149">
        <v>999</v>
      </c>
      <c r="BB15" s="149">
        <v>999</v>
      </c>
      <c r="BC15" s="149">
        <v>0</v>
      </c>
      <c r="BD15" s="149">
        <v>0</v>
      </c>
      <c r="BE15" s="27">
        <v>2</v>
      </c>
      <c r="BF15" s="129">
        <v>1</v>
      </c>
      <c r="BG15" s="129">
        <v>0</v>
      </c>
      <c r="BH15" s="150">
        <v>150</v>
      </c>
      <c r="BI15" s="29">
        <v>0.01</v>
      </c>
      <c r="BJ15" s="29">
        <v>2</v>
      </c>
      <c r="BK15" s="29">
        <v>1</v>
      </c>
      <c r="BL15" s="27">
        <v>0</v>
      </c>
      <c r="BM15" s="129">
        <v>467</v>
      </c>
      <c r="BN15" s="129">
        <v>40</v>
      </c>
      <c r="BO15" s="129">
        <v>2</v>
      </c>
      <c r="BP15" s="129">
        <v>487</v>
      </c>
      <c r="BQ15" s="129">
        <v>40</v>
      </c>
      <c r="BR15" s="129">
        <v>2</v>
      </c>
      <c r="BS15" s="129">
        <v>1</v>
      </c>
      <c r="BT15" s="150">
        <v>0</v>
      </c>
      <c r="BU15" s="129">
        <v>999</v>
      </c>
      <c r="BV15" s="129" t="s">
        <v>369</v>
      </c>
      <c r="BW15" s="146">
        <v>2</v>
      </c>
      <c r="BX15" s="151">
        <v>0</v>
      </c>
      <c r="BY15" s="29">
        <v>1</v>
      </c>
      <c r="BZ15" s="29">
        <v>1</v>
      </c>
      <c r="CA15" s="27">
        <v>0</v>
      </c>
      <c r="CB15" s="29">
        <v>1</v>
      </c>
      <c r="CC15" s="29">
        <v>1</v>
      </c>
      <c r="CD15" s="29">
        <v>0</v>
      </c>
      <c r="CE15" s="29">
        <v>0</v>
      </c>
      <c r="CF15" s="29">
        <v>0</v>
      </c>
      <c r="CG15" s="29">
        <v>0</v>
      </c>
      <c r="CH15" s="27">
        <v>0</v>
      </c>
      <c r="CI15" s="27">
        <v>1</v>
      </c>
      <c r="CJ15" s="29">
        <v>2</v>
      </c>
      <c r="CK15" s="27">
        <v>0</v>
      </c>
      <c r="CL15" s="29">
        <v>2</v>
      </c>
      <c r="CM15" s="152">
        <v>2</v>
      </c>
      <c r="CN15" s="129">
        <v>1</v>
      </c>
      <c r="CO15" s="129">
        <v>2</v>
      </c>
      <c r="CP15" s="129">
        <v>0</v>
      </c>
      <c r="CQ15" s="150" t="s">
        <v>370</v>
      </c>
      <c r="CR15" s="153"/>
      <c r="CS15" s="153" t="s">
        <v>305</v>
      </c>
      <c r="CT15" s="153" t="s">
        <v>305</v>
      </c>
      <c r="CU15" s="153" t="s">
        <v>305</v>
      </c>
      <c r="CV15" s="153" t="s">
        <v>305</v>
      </c>
      <c r="CW15" s="153" t="s">
        <v>305</v>
      </c>
      <c r="CX15" s="153" t="s">
        <v>305</v>
      </c>
      <c r="CY15" s="153" t="s">
        <v>305</v>
      </c>
      <c r="CZ15" s="153" t="s">
        <v>305</v>
      </c>
      <c r="DA15" s="154" t="s">
        <v>305</v>
      </c>
      <c r="DB15" s="153" t="s">
        <v>305</v>
      </c>
      <c r="DC15" s="153" t="s">
        <v>305</v>
      </c>
      <c r="DD15" s="153" t="s">
        <v>305</v>
      </c>
      <c r="DE15" s="153" t="s">
        <v>305</v>
      </c>
      <c r="DF15" s="153" t="s">
        <v>305</v>
      </c>
      <c r="DG15" s="153" t="s">
        <v>305</v>
      </c>
      <c r="DH15" s="153" t="s">
        <v>305</v>
      </c>
      <c r="DI15" s="153" t="s">
        <v>305</v>
      </c>
      <c r="DJ15" s="153" t="s">
        <v>305</v>
      </c>
      <c r="DK15" s="154" t="s">
        <v>305</v>
      </c>
      <c r="DL15" s="153" t="s">
        <v>305</v>
      </c>
      <c r="DM15" s="153" t="s">
        <v>305</v>
      </c>
      <c r="DN15" s="153" t="s">
        <v>305</v>
      </c>
      <c r="DO15" s="153" t="s">
        <v>305</v>
      </c>
      <c r="DP15" s="153" t="s">
        <v>305</v>
      </c>
      <c r="DQ15" s="153" t="s">
        <v>305</v>
      </c>
      <c r="DR15" s="153" t="s">
        <v>305</v>
      </c>
      <c r="DS15" s="153" t="s">
        <v>305</v>
      </c>
      <c r="DT15" s="153" t="s">
        <v>305</v>
      </c>
      <c r="DU15" s="154" t="s">
        <v>305</v>
      </c>
      <c r="DV15" s="129">
        <v>1</v>
      </c>
      <c r="DW15" s="129">
        <v>0</v>
      </c>
      <c r="DX15" s="150">
        <v>0</v>
      </c>
      <c r="DY15" s="29">
        <v>1</v>
      </c>
      <c r="DZ15" s="29">
        <v>0</v>
      </c>
      <c r="EA15" s="29">
        <v>0</v>
      </c>
      <c r="EB15" s="29">
        <v>0</v>
      </c>
      <c r="EC15" s="29">
        <v>2</v>
      </c>
      <c r="ED15" s="29">
        <v>999</v>
      </c>
      <c r="EE15" s="27">
        <v>0</v>
      </c>
      <c r="EF15" s="29">
        <v>1</v>
      </c>
      <c r="EG15" s="28">
        <v>1</v>
      </c>
      <c r="EH15" s="28">
        <v>1</v>
      </c>
      <c r="EI15" s="29">
        <v>1</v>
      </c>
      <c r="EJ15" s="29">
        <v>0</v>
      </c>
      <c r="EK15" s="29">
        <v>0</v>
      </c>
      <c r="EL15" s="29">
        <v>999</v>
      </c>
      <c r="EM15" s="27">
        <v>0</v>
      </c>
      <c r="EN15" s="29">
        <v>1</v>
      </c>
      <c r="EO15" s="27">
        <v>999</v>
      </c>
      <c r="EP15" s="29">
        <v>1</v>
      </c>
      <c r="EQ15" s="29">
        <v>0</v>
      </c>
      <c r="ER15" s="27">
        <v>0</v>
      </c>
      <c r="ES15" s="29">
        <v>1</v>
      </c>
      <c r="ET15" s="29">
        <v>0</v>
      </c>
      <c r="EU15" s="29">
        <v>0</v>
      </c>
      <c r="EV15" s="29">
        <v>999</v>
      </c>
      <c r="EW15" s="29">
        <v>0</v>
      </c>
      <c r="EX15" s="29">
        <v>999</v>
      </c>
      <c r="EY15" s="27">
        <v>0</v>
      </c>
      <c r="EZ15" s="146">
        <v>2</v>
      </c>
      <c r="FA15" s="151">
        <v>999</v>
      </c>
      <c r="FB15">
        <v>2</v>
      </c>
      <c r="FC15">
        <v>0</v>
      </c>
      <c r="FD15">
        <v>0</v>
      </c>
      <c r="FE15">
        <v>0</v>
      </c>
      <c r="FF15" s="4">
        <v>0</v>
      </c>
      <c r="FG15">
        <v>2</v>
      </c>
      <c r="FH15">
        <v>0</v>
      </c>
      <c r="FI15">
        <v>0</v>
      </c>
      <c r="FJ15">
        <v>0</v>
      </c>
      <c r="FK15" s="4">
        <v>0</v>
      </c>
      <c r="FL15" s="4">
        <v>2</v>
      </c>
    </row>
    <row r="16" spans="1:168" s="165" customFormat="1" x14ac:dyDescent="0.3">
      <c r="A16" s="165" t="s">
        <v>328</v>
      </c>
      <c r="B16" s="170">
        <v>999</v>
      </c>
      <c r="C16" s="170">
        <v>1</v>
      </c>
      <c r="D16" s="170">
        <v>0</v>
      </c>
      <c r="E16" s="170">
        <v>0</v>
      </c>
      <c r="F16" s="170">
        <v>0</v>
      </c>
      <c r="G16" s="170">
        <v>0</v>
      </c>
      <c r="H16" s="170">
        <v>0</v>
      </c>
      <c r="I16" s="171">
        <v>1</v>
      </c>
      <c r="J16" s="171">
        <v>0.14000000000000001</v>
      </c>
      <c r="K16" s="171">
        <v>5</v>
      </c>
      <c r="L16" s="172">
        <v>207</v>
      </c>
      <c r="M16" s="172">
        <v>0</v>
      </c>
      <c r="N16" s="172">
        <v>9</v>
      </c>
      <c r="O16" s="172"/>
      <c r="P16" s="172"/>
      <c r="Q16" s="172"/>
      <c r="R16" s="226">
        <v>232</v>
      </c>
      <c r="S16" s="226">
        <v>0</v>
      </c>
      <c r="T16" s="226">
        <v>7</v>
      </c>
      <c r="U16" s="225">
        <v>345</v>
      </c>
      <c r="V16" s="225">
        <v>0</v>
      </c>
      <c r="W16" s="225">
        <v>25</v>
      </c>
      <c r="X16" s="170">
        <v>232</v>
      </c>
      <c r="Y16" s="170">
        <v>2.5</v>
      </c>
      <c r="Z16" s="170">
        <v>83.333333333333329</v>
      </c>
      <c r="AA16" s="170">
        <v>1</v>
      </c>
      <c r="AB16" s="173">
        <v>2</v>
      </c>
      <c r="AC16" s="173">
        <v>0</v>
      </c>
      <c r="AD16" s="173">
        <v>0</v>
      </c>
      <c r="AE16" s="173">
        <v>2</v>
      </c>
      <c r="AF16" s="173">
        <v>0</v>
      </c>
      <c r="AG16" s="173">
        <v>0</v>
      </c>
      <c r="AH16" s="174">
        <v>999</v>
      </c>
      <c r="AI16" s="174">
        <v>999</v>
      </c>
      <c r="AJ16" s="175">
        <v>999</v>
      </c>
      <c r="AK16" s="170">
        <v>1</v>
      </c>
      <c r="AL16" s="170">
        <v>999</v>
      </c>
      <c r="AM16" s="170">
        <v>999</v>
      </c>
      <c r="AN16" s="170">
        <v>999</v>
      </c>
      <c r="AO16" s="170">
        <v>999</v>
      </c>
      <c r="AP16" s="170">
        <v>999</v>
      </c>
      <c r="AQ16" s="170">
        <v>999</v>
      </c>
      <c r="AR16" s="170">
        <v>999</v>
      </c>
      <c r="AS16" s="170">
        <v>999</v>
      </c>
      <c r="AT16" s="170">
        <v>344</v>
      </c>
      <c r="AU16" s="173">
        <v>1</v>
      </c>
      <c r="AV16" s="173">
        <v>2</v>
      </c>
      <c r="AW16" s="173">
        <v>0</v>
      </c>
      <c r="AX16" s="173">
        <v>0</v>
      </c>
      <c r="AY16" s="173">
        <v>0</v>
      </c>
      <c r="AZ16" s="176">
        <v>3</v>
      </c>
      <c r="BA16" s="176">
        <v>999</v>
      </c>
      <c r="BB16" s="176">
        <v>999</v>
      </c>
      <c r="BC16" s="176">
        <v>0</v>
      </c>
      <c r="BD16" s="176">
        <v>0</v>
      </c>
      <c r="BE16" s="177">
        <v>2</v>
      </c>
      <c r="BF16" s="170">
        <v>1</v>
      </c>
      <c r="BG16" s="170">
        <v>0</v>
      </c>
      <c r="BH16" s="178">
        <v>150</v>
      </c>
      <c r="BI16" s="173">
        <v>0.01</v>
      </c>
      <c r="BJ16" s="173">
        <v>2</v>
      </c>
      <c r="BK16" s="173">
        <v>1</v>
      </c>
      <c r="BL16" s="177">
        <v>0</v>
      </c>
      <c r="BM16" s="170" t="s">
        <v>305</v>
      </c>
      <c r="BN16" s="170" t="s">
        <v>305</v>
      </c>
      <c r="BO16" s="170" t="s">
        <v>305</v>
      </c>
      <c r="BP16" s="170" t="s">
        <v>305</v>
      </c>
      <c r="BQ16" s="170" t="s">
        <v>305</v>
      </c>
      <c r="BR16" s="170" t="s">
        <v>305</v>
      </c>
      <c r="BS16" s="170">
        <v>1</v>
      </c>
      <c r="BT16" s="178">
        <v>0</v>
      </c>
      <c r="BU16" s="170">
        <v>999</v>
      </c>
      <c r="BV16" s="170" t="s">
        <v>371</v>
      </c>
      <c r="BW16" s="171">
        <v>2</v>
      </c>
      <c r="BX16" s="179">
        <v>0</v>
      </c>
      <c r="BY16" s="173">
        <v>1</v>
      </c>
      <c r="BZ16" s="173">
        <v>1</v>
      </c>
      <c r="CA16" s="177">
        <v>0</v>
      </c>
      <c r="CB16" s="173">
        <v>1</v>
      </c>
      <c r="CC16" s="173">
        <v>1</v>
      </c>
      <c r="CD16" s="173">
        <v>0</v>
      </c>
      <c r="CE16" s="173">
        <v>0</v>
      </c>
      <c r="CF16" s="173">
        <v>0</v>
      </c>
      <c r="CG16" s="173">
        <v>0</v>
      </c>
      <c r="CH16" s="177">
        <v>0</v>
      </c>
      <c r="CI16" s="177">
        <v>1</v>
      </c>
      <c r="CJ16" s="173">
        <v>2</v>
      </c>
      <c r="CK16" s="177">
        <v>0</v>
      </c>
      <c r="CL16" s="173">
        <v>2</v>
      </c>
      <c r="CM16" s="180">
        <v>2</v>
      </c>
      <c r="CN16" s="170">
        <v>1</v>
      </c>
      <c r="CO16" s="170">
        <v>2</v>
      </c>
      <c r="CP16" s="170">
        <v>0</v>
      </c>
      <c r="CQ16" s="178" t="s">
        <v>370</v>
      </c>
      <c r="CR16" s="181"/>
      <c r="CS16" s="181" t="s">
        <v>305</v>
      </c>
      <c r="CT16" s="181" t="s">
        <v>305</v>
      </c>
      <c r="CU16" s="181" t="s">
        <v>305</v>
      </c>
      <c r="CV16" s="181" t="s">
        <v>305</v>
      </c>
      <c r="CW16" s="181" t="s">
        <v>305</v>
      </c>
      <c r="CX16" s="181" t="s">
        <v>305</v>
      </c>
      <c r="CY16" s="181" t="s">
        <v>305</v>
      </c>
      <c r="CZ16" s="181" t="s">
        <v>305</v>
      </c>
      <c r="DA16" s="182" t="s">
        <v>305</v>
      </c>
      <c r="DB16" s="181" t="s">
        <v>305</v>
      </c>
      <c r="DC16" s="181" t="s">
        <v>305</v>
      </c>
      <c r="DD16" s="181" t="s">
        <v>305</v>
      </c>
      <c r="DE16" s="181" t="s">
        <v>305</v>
      </c>
      <c r="DF16" s="181" t="s">
        <v>305</v>
      </c>
      <c r="DG16" s="181" t="s">
        <v>305</v>
      </c>
      <c r="DH16" s="181" t="s">
        <v>305</v>
      </c>
      <c r="DI16" s="181" t="s">
        <v>305</v>
      </c>
      <c r="DJ16" s="181" t="s">
        <v>305</v>
      </c>
      <c r="DK16" s="182" t="s">
        <v>305</v>
      </c>
      <c r="DL16" s="181" t="s">
        <v>305</v>
      </c>
      <c r="DM16" s="181" t="s">
        <v>305</v>
      </c>
      <c r="DN16" s="181" t="s">
        <v>305</v>
      </c>
      <c r="DO16" s="181" t="s">
        <v>305</v>
      </c>
      <c r="DP16" s="181" t="s">
        <v>305</v>
      </c>
      <c r="DQ16" s="181" t="s">
        <v>305</v>
      </c>
      <c r="DR16" s="181" t="s">
        <v>305</v>
      </c>
      <c r="DS16" s="181" t="s">
        <v>305</v>
      </c>
      <c r="DT16" s="181" t="s">
        <v>305</v>
      </c>
      <c r="DU16" s="182" t="s">
        <v>305</v>
      </c>
      <c r="DV16" s="170">
        <v>1</v>
      </c>
      <c r="DW16" s="170">
        <v>0</v>
      </c>
      <c r="DX16" s="178">
        <v>0</v>
      </c>
      <c r="DY16" s="173">
        <v>1</v>
      </c>
      <c r="DZ16" s="173">
        <v>0</v>
      </c>
      <c r="EA16" s="173">
        <v>0</v>
      </c>
      <c r="EB16" s="173">
        <v>0</v>
      </c>
      <c r="EC16" s="173">
        <v>2</v>
      </c>
      <c r="ED16" s="173">
        <v>999</v>
      </c>
      <c r="EE16" s="177">
        <v>0</v>
      </c>
      <c r="EF16" s="173">
        <v>1</v>
      </c>
      <c r="EG16" s="183">
        <v>1</v>
      </c>
      <c r="EH16" s="183">
        <v>1</v>
      </c>
      <c r="EI16" s="173">
        <v>1</v>
      </c>
      <c r="EJ16" s="173">
        <v>0</v>
      </c>
      <c r="EK16" s="173">
        <v>0</v>
      </c>
      <c r="EL16" s="173">
        <v>999</v>
      </c>
      <c r="EM16" s="177">
        <v>0</v>
      </c>
      <c r="EN16" s="173">
        <v>1</v>
      </c>
      <c r="EO16" s="177">
        <v>999</v>
      </c>
      <c r="EP16" s="173">
        <v>1</v>
      </c>
      <c r="EQ16" s="173">
        <v>0</v>
      </c>
      <c r="ER16" s="177">
        <v>0</v>
      </c>
      <c r="ES16" s="173">
        <v>1</v>
      </c>
      <c r="ET16" s="173">
        <v>0</v>
      </c>
      <c r="EU16" s="173">
        <v>0</v>
      </c>
      <c r="EV16" s="173">
        <v>999</v>
      </c>
      <c r="EW16" s="173">
        <v>0</v>
      </c>
      <c r="EX16" s="173">
        <v>999</v>
      </c>
      <c r="EY16" s="177">
        <v>0</v>
      </c>
      <c r="EZ16" s="171">
        <v>2</v>
      </c>
      <c r="FA16" s="179">
        <v>999</v>
      </c>
      <c r="FB16" s="169">
        <v>2</v>
      </c>
      <c r="FC16" s="169">
        <v>0</v>
      </c>
      <c r="FD16" s="169">
        <v>0</v>
      </c>
      <c r="FE16" s="169">
        <v>0</v>
      </c>
      <c r="FF16" s="184">
        <v>0</v>
      </c>
      <c r="FG16" s="169">
        <v>2</v>
      </c>
      <c r="FH16" s="169">
        <v>0</v>
      </c>
      <c r="FI16" s="169">
        <v>0</v>
      </c>
      <c r="FJ16" s="169">
        <v>0</v>
      </c>
      <c r="FK16" s="184">
        <v>0</v>
      </c>
      <c r="FL16" s="184">
        <v>2</v>
      </c>
    </row>
    <row r="17" spans="1:168" s="31" customFormat="1" ht="15" customHeight="1" x14ac:dyDescent="0.3">
      <c r="A17" s="31" t="s">
        <v>329</v>
      </c>
      <c r="B17" s="129">
        <v>999</v>
      </c>
      <c r="C17" s="129">
        <v>1</v>
      </c>
      <c r="D17" s="129">
        <v>0</v>
      </c>
      <c r="E17" s="129">
        <v>0</v>
      </c>
      <c r="F17" s="129">
        <v>0</v>
      </c>
      <c r="G17" s="129">
        <v>0</v>
      </c>
      <c r="H17" s="129">
        <v>0</v>
      </c>
      <c r="I17" s="146">
        <v>1</v>
      </c>
      <c r="J17" s="146">
        <v>0.14000000000000001</v>
      </c>
      <c r="K17" s="146">
        <v>5</v>
      </c>
      <c r="L17" s="160">
        <v>84</v>
      </c>
      <c r="M17" s="160">
        <v>0</v>
      </c>
      <c r="N17" s="160">
        <v>7</v>
      </c>
      <c r="O17" s="159">
        <v>102</v>
      </c>
      <c r="P17" s="159">
        <v>0</v>
      </c>
      <c r="Q17" s="159">
        <v>4</v>
      </c>
      <c r="R17" s="159">
        <v>120</v>
      </c>
      <c r="S17" s="159">
        <v>0</v>
      </c>
      <c r="T17" s="159">
        <v>2</v>
      </c>
      <c r="U17" s="129" t="s">
        <v>305</v>
      </c>
      <c r="V17" s="129" t="s">
        <v>305</v>
      </c>
      <c r="W17" s="129" t="s">
        <v>305</v>
      </c>
      <c r="X17" s="129">
        <v>84</v>
      </c>
      <c r="Y17" s="129">
        <v>2</v>
      </c>
      <c r="Z17" s="129">
        <v>329.16666666666669</v>
      </c>
      <c r="AA17" s="129">
        <v>1</v>
      </c>
      <c r="AB17" s="29">
        <v>2</v>
      </c>
      <c r="AC17" s="29">
        <v>0</v>
      </c>
      <c r="AD17" s="29">
        <v>0</v>
      </c>
      <c r="AE17" s="29">
        <v>2</v>
      </c>
      <c r="AF17" s="29">
        <v>0</v>
      </c>
      <c r="AG17" s="29">
        <v>0</v>
      </c>
      <c r="AH17" s="147">
        <v>999</v>
      </c>
      <c r="AI17" s="147">
        <v>999</v>
      </c>
      <c r="AJ17" s="148">
        <v>999</v>
      </c>
      <c r="AK17" s="129">
        <v>1</v>
      </c>
      <c r="AL17" s="129">
        <v>999</v>
      </c>
      <c r="AM17" s="129">
        <v>999</v>
      </c>
      <c r="AN17" s="129">
        <v>999</v>
      </c>
      <c r="AO17" s="129">
        <v>999</v>
      </c>
      <c r="AP17" s="129">
        <v>999</v>
      </c>
      <c r="AQ17" s="129">
        <v>999</v>
      </c>
      <c r="AR17" s="129">
        <v>999</v>
      </c>
      <c r="AS17" s="129">
        <v>999</v>
      </c>
      <c r="AT17" s="129">
        <v>213</v>
      </c>
      <c r="AU17" s="29">
        <v>1</v>
      </c>
      <c r="AV17" s="29">
        <v>2</v>
      </c>
      <c r="AW17" s="29">
        <v>0</v>
      </c>
      <c r="AX17" s="29">
        <v>0</v>
      </c>
      <c r="AY17" s="29">
        <v>0</v>
      </c>
      <c r="AZ17" s="149">
        <v>3</v>
      </c>
      <c r="BA17" s="149">
        <v>999</v>
      </c>
      <c r="BB17" s="149">
        <v>999</v>
      </c>
      <c r="BC17" s="149">
        <v>0</v>
      </c>
      <c r="BD17" s="149">
        <v>0</v>
      </c>
      <c r="BE17" s="27">
        <v>2</v>
      </c>
      <c r="BF17" s="129">
        <v>1</v>
      </c>
      <c r="BG17" s="129">
        <v>0</v>
      </c>
      <c r="BH17" s="150">
        <v>150</v>
      </c>
      <c r="BI17" s="29">
        <v>0.01</v>
      </c>
      <c r="BJ17" s="29">
        <v>2</v>
      </c>
      <c r="BK17" s="29">
        <v>1</v>
      </c>
      <c r="BL17" s="27">
        <v>0</v>
      </c>
      <c r="BM17" s="129">
        <v>92</v>
      </c>
      <c r="BN17" s="129">
        <v>55</v>
      </c>
      <c r="BO17" s="129">
        <v>2</v>
      </c>
      <c r="BP17" s="129" t="s">
        <v>305</v>
      </c>
      <c r="BQ17" s="129" t="s">
        <v>305</v>
      </c>
      <c r="BR17" s="129" t="s">
        <v>305</v>
      </c>
      <c r="BS17" s="129">
        <v>1</v>
      </c>
      <c r="BT17" s="150">
        <v>0</v>
      </c>
      <c r="BU17" s="129">
        <v>999</v>
      </c>
      <c r="BV17" s="129" t="s">
        <v>369</v>
      </c>
      <c r="BW17" s="146">
        <v>2</v>
      </c>
      <c r="BX17" s="151">
        <v>0</v>
      </c>
      <c r="BY17" s="29">
        <v>1</v>
      </c>
      <c r="BZ17" s="29">
        <v>1</v>
      </c>
      <c r="CA17" s="27">
        <v>0</v>
      </c>
      <c r="CB17" s="29">
        <v>1</v>
      </c>
      <c r="CC17" s="29">
        <v>1</v>
      </c>
      <c r="CD17" s="29">
        <v>0</v>
      </c>
      <c r="CE17" s="29">
        <v>0</v>
      </c>
      <c r="CF17" s="29">
        <v>0</v>
      </c>
      <c r="CG17" s="29">
        <v>0</v>
      </c>
      <c r="CH17" s="27">
        <v>0</v>
      </c>
      <c r="CI17" s="27">
        <v>1</v>
      </c>
      <c r="CJ17" s="29">
        <v>2</v>
      </c>
      <c r="CK17" s="27">
        <v>0</v>
      </c>
      <c r="CL17" s="29">
        <v>2</v>
      </c>
      <c r="CM17" s="152">
        <v>2</v>
      </c>
      <c r="CN17" s="129">
        <v>1</v>
      </c>
      <c r="CO17" s="129">
        <v>2</v>
      </c>
      <c r="CP17" s="129">
        <v>0</v>
      </c>
      <c r="CQ17" s="150" t="s">
        <v>370</v>
      </c>
      <c r="CR17" s="153" t="s">
        <v>305</v>
      </c>
      <c r="CS17" s="153" t="s">
        <v>305</v>
      </c>
      <c r="CT17" s="153" t="s">
        <v>305</v>
      </c>
      <c r="CU17" s="153"/>
      <c r="CV17" s="153" t="s">
        <v>305</v>
      </c>
      <c r="CW17" s="153" t="s">
        <v>305</v>
      </c>
      <c r="CX17" s="153" t="s">
        <v>305</v>
      </c>
      <c r="CY17" s="153" t="s">
        <v>305</v>
      </c>
      <c r="CZ17" s="153" t="s">
        <v>305</v>
      </c>
      <c r="DA17" s="154" t="s">
        <v>305</v>
      </c>
      <c r="DB17" s="153" t="s">
        <v>305</v>
      </c>
      <c r="DC17" s="153" t="s">
        <v>305</v>
      </c>
      <c r="DD17" s="153" t="s">
        <v>305</v>
      </c>
      <c r="DE17" s="153" t="s">
        <v>305</v>
      </c>
      <c r="DF17" s="153" t="s">
        <v>305</v>
      </c>
      <c r="DG17" s="153" t="s">
        <v>305</v>
      </c>
      <c r="DH17" s="153" t="s">
        <v>305</v>
      </c>
      <c r="DI17" s="153" t="s">
        <v>305</v>
      </c>
      <c r="DJ17" s="153" t="s">
        <v>305</v>
      </c>
      <c r="DK17" s="154" t="s">
        <v>305</v>
      </c>
      <c r="DL17" s="153" t="s">
        <v>305</v>
      </c>
      <c r="DM17" s="153" t="s">
        <v>305</v>
      </c>
      <c r="DN17" s="153" t="s">
        <v>305</v>
      </c>
      <c r="DO17" s="153" t="s">
        <v>305</v>
      </c>
      <c r="DP17" s="153" t="s">
        <v>305</v>
      </c>
      <c r="DQ17" s="153" t="s">
        <v>305</v>
      </c>
      <c r="DR17" s="153" t="s">
        <v>305</v>
      </c>
      <c r="DS17" s="153" t="s">
        <v>305</v>
      </c>
      <c r="DT17" s="153" t="s">
        <v>305</v>
      </c>
      <c r="DU17" s="154" t="s">
        <v>305</v>
      </c>
      <c r="DV17" s="129">
        <v>1</v>
      </c>
      <c r="DW17" s="129">
        <v>0</v>
      </c>
      <c r="DX17" s="150">
        <v>0</v>
      </c>
      <c r="DY17" s="29">
        <v>1</v>
      </c>
      <c r="DZ17" s="29">
        <v>0</v>
      </c>
      <c r="EA17" s="29">
        <v>0</v>
      </c>
      <c r="EB17" s="29">
        <v>0</v>
      </c>
      <c r="EC17" s="29">
        <v>2</v>
      </c>
      <c r="ED17" s="29">
        <v>999</v>
      </c>
      <c r="EE17" s="27">
        <v>0</v>
      </c>
      <c r="EF17" s="29">
        <v>1</v>
      </c>
      <c r="EG17" s="28">
        <v>1</v>
      </c>
      <c r="EH17" s="28">
        <v>1</v>
      </c>
      <c r="EI17" s="29">
        <v>1</v>
      </c>
      <c r="EJ17" s="29">
        <v>0</v>
      </c>
      <c r="EK17" s="29">
        <v>0</v>
      </c>
      <c r="EL17" s="29">
        <v>999</v>
      </c>
      <c r="EM17" s="27">
        <v>0</v>
      </c>
      <c r="EN17" s="29">
        <v>1</v>
      </c>
      <c r="EO17" s="27">
        <v>999</v>
      </c>
      <c r="EP17" s="29">
        <v>1</v>
      </c>
      <c r="EQ17" s="29">
        <v>0</v>
      </c>
      <c r="ER17" s="27">
        <v>0</v>
      </c>
      <c r="ES17" s="29">
        <v>1</v>
      </c>
      <c r="ET17" s="29">
        <v>0</v>
      </c>
      <c r="EU17" s="29">
        <v>0</v>
      </c>
      <c r="EV17" s="29">
        <v>999</v>
      </c>
      <c r="EW17" s="29">
        <v>0</v>
      </c>
      <c r="EX17" s="29">
        <v>999</v>
      </c>
      <c r="EY17" s="27">
        <v>0</v>
      </c>
      <c r="EZ17" s="146">
        <v>2</v>
      </c>
      <c r="FA17" s="151">
        <v>999</v>
      </c>
      <c r="FB17">
        <v>2</v>
      </c>
      <c r="FC17">
        <v>0</v>
      </c>
      <c r="FD17">
        <v>0</v>
      </c>
      <c r="FE17">
        <v>0</v>
      </c>
      <c r="FF17" s="4">
        <v>0</v>
      </c>
      <c r="FG17">
        <v>2</v>
      </c>
      <c r="FH17">
        <v>0</v>
      </c>
      <c r="FI17">
        <v>0</v>
      </c>
      <c r="FJ17">
        <v>0</v>
      </c>
      <c r="FK17" s="4">
        <v>0</v>
      </c>
      <c r="FL17" s="4">
        <v>2</v>
      </c>
    </row>
    <row r="18" spans="1:168" s="165" customFormat="1" ht="15" customHeight="1" x14ac:dyDescent="0.3">
      <c r="A18" s="165" t="s">
        <v>331</v>
      </c>
      <c r="B18" s="170">
        <v>999</v>
      </c>
      <c r="C18" s="170">
        <v>1</v>
      </c>
      <c r="D18" s="170">
        <v>0</v>
      </c>
      <c r="E18" s="170">
        <v>0</v>
      </c>
      <c r="F18" s="170">
        <v>0</v>
      </c>
      <c r="G18" s="170">
        <v>0</v>
      </c>
      <c r="H18" s="170">
        <v>0</v>
      </c>
      <c r="I18" s="171">
        <v>1</v>
      </c>
      <c r="J18" s="171">
        <v>0.14000000000000001</v>
      </c>
      <c r="K18" s="171">
        <v>5</v>
      </c>
      <c r="L18" s="172">
        <v>215</v>
      </c>
      <c r="M18" s="172">
        <v>0</v>
      </c>
      <c r="N18" s="172">
        <v>8</v>
      </c>
      <c r="O18" s="227"/>
      <c r="P18" s="227"/>
      <c r="Q18" s="227"/>
      <c r="R18" s="225">
        <v>339</v>
      </c>
      <c r="S18" s="225">
        <v>0</v>
      </c>
      <c r="T18" s="225">
        <v>20</v>
      </c>
      <c r="U18" s="170" t="s">
        <v>305</v>
      </c>
      <c r="V18" s="170" t="s">
        <v>305</v>
      </c>
      <c r="W18" s="170" t="s">
        <v>305</v>
      </c>
      <c r="X18" s="170">
        <v>219</v>
      </c>
      <c r="Y18" s="170">
        <v>2.5</v>
      </c>
      <c r="Z18" s="170">
        <v>83.333333333333329</v>
      </c>
      <c r="AA18" s="170">
        <v>1</v>
      </c>
      <c r="AB18" s="173">
        <v>2</v>
      </c>
      <c r="AC18" s="173">
        <v>0</v>
      </c>
      <c r="AD18" s="173">
        <v>0</v>
      </c>
      <c r="AE18" s="173">
        <v>2</v>
      </c>
      <c r="AF18" s="173">
        <v>0</v>
      </c>
      <c r="AG18" s="173">
        <v>0</v>
      </c>
      <c r="AH18" s="174">
        <v>999</v>
      </c>
      <c r="AI18" s="174">
        <v>999</v>
      </c>
      <c r="AJ18" s="175">
        <v>999</v>
      </c>
      <c r="AK18" s="170">
        <v>1</v>
      </c>
      <c r="AL18" s="170">
        <v>999</v>
      </c>
      <c r="AM18" s="170">
        <v>999</v>
      </c>
      <c r="AN18" s="170">
        <v>999</v>
      </c>
      <c r="AO18" s="170">
        <v>999</v>
      </c>
      <c r="AP18" s="170">
        <v>999</v>
      </c>
      <c r="AQ18" s="170">
        <v>999</v>
      </c>
      <c r="AR18" s="170">
        <v>999</v>
      </c>
      <c r="AS18" s="170">
        <v>999</v>
      </c>
      <c r="AT18" s="170">
        <v>338</v>
      </c>
      <c r="AU18" s="173">
        <v>1</v>
      </c>
      <c r="AV18" s="173">
        <v>2</v>
      </c>
      <c r="AW18" s="173">
        <v>0</v>
      </c>
      <c r="AX18" s="173">
        <v>0</v>
      </c>
      <c r="AY18" s="173">
        <v>0</v>
      </c>
      <c r="AZ18" s="176">
        <v>3</v>
      </c>
      <c r="BA18" s="176">
        <v>999</v>
      </c>
      <c r="BB18" s="176">
        <v>999</v>
      </c>
      <c r="BC18" s="176">
        <v>0</v>
      </c>
      <c r="BD18" s="176">
        <v>0</v>
      </c>
      <c r="BE18" s="177">
        <v>2</v>
      </c>
      <c r="BF18" s="170">
        <v>1</v>
      </c>
      <c r="BG18" s="170">
        <v>0</v>
      </c>
      <c r="BH18" s="178">
        <v>150</v>
      </c>
      <c r="BI18" s="173">
        <v>0.01</v>
      </c>
      <c r="BJ18" s="173">
        <v>2</v>
      </c>
      <c r="BK18" s="173">
        <v>1</v>
      </c>
      <c r="BL18" s="177">
        <v>0</v>
      </c>
      <c r="BM18" s="170">
        <v>500</v>
      </c>
      <c r="BN18" s="170">
        <v>39</v>
      </c>
      <c r="BO18" s="170">
        <v>2</v>
      </c>
      <c r="BP18" s="170" t="s">
        <v>305</v>
      </c>
      <c r="BQ18" s="170" t="s">
        <v>305</v>
      </c>
      <c r="BR18" s="170" t="s">
        <v>305</v>
      </c>
      <c r="BS18" s="170">
        <v>1</v>
      </c>
      <c r="BT18" s="178">
        <v>0</v>
      </c>
      <c r="BU18" s="170">
        <v>999</v>
      </c>
      <c r="BV18" s="170" t="s">
        <v>371</v>
      </c>
      <c r="BW18" s="171">
        <v>2</v>
      </c>
      <c r="BX18" s="179">
        <v>0</v>
      </c>
      <c r="BY18" s="173">
        <v>1</v>
      </c>
      <c r="BZ18" s="173">
        <v>1</v>
      </c>
      <c r="CA18" s="177">
        <v>0</v>
      </c>
      <c r="CB18" s="173">
        <v>1</v>
      </c>
      <c r="CC18" s="173">
        <v>1</v>
      </c>
      <c r="CD18" s="173">
        <v>0</v>
      </c>
      <c r="CE18" s="173">
        <v>0</v>
      </c>
      <c r="CF18" s="173">
        <v>0</v>
      </c>
      <c r="CG18" s="173">
        <v>0</v>
      </c>
      <c r="CH18" s="177">
        <v>0</v>
      </c>
      <c r="CI18" s="177">
        <v>1</v>
      </c>
      <c r="CJ18" s="173">
        <v>2</v>
      </c>
      <c r="CK18" s="177">
        <v>0</v>
      </c>
      <c r="CL18" s="173">
        <v>2</v>
      </c>
      <c r="CM18" s="180">
        <v>2</v>
      </c>
      <c r="CN18" s="170">
        <v>1</v>
      </c>
      <c r="CO18" s="170">
        <v>2</v>
      </c>
      <c r="CP18" s="170">
        <v>0</v>
      </c>
      <c r="CQ18" s="178" t="s">
        <v>370</v>
      </c>
      <c r="CR18" s="181" t="s">
        <v>305</v>
      </c>
      <c r="CS18" s="181" t="s">
        <v>305</v>
      </c>
      <c r="CT18" s="181" t="s">
        <v>305</v>
      </c>
      <c r="CU18" s="181" t="s">
        <v>305</v>
      </c>
      <c r="CV18" s="181" t="s">
        <v>305</v>
      </c>
      <c r="CW18" s="181" t="s">
        <v>305</v>
      </c>
      <c r="CX18" s="181" t="s">
        <v>305</v>
      </c>
      <c r="CY18" s="181" t="s">
        <v>305</v>
      </c>
      <c r="CZ18" s="181" t="s">
        <v>305</v>
      </c>
      <c r="DA18" s="182" t="s">
        <v>305</v>
      </c>
      <c r="DB18" s="181"/>
      <c r="DC18" s="181"/>
      <c r="DD18" s="181"/>
      <c r="DE18" s="181"/>
      <c r="DF18" s="181"/>
      <c r="DG18" s="181"/>
      <c r="DH18" s="181"/>
      <c r="DI18" s="181"/>
      <c r="DJ18" s="181"/>
      <c r="DK18" s="182"/>
      <c r="DL18" s="181" t="s">
        <v>305</v>
      </c>
      <c r="DM18" s="181" t="s">
        <v>305</v>
      </c>
      <c r="DN18" s="181" t="s">
        <v>305</v>
      </c>
      <c r="DO18" s="181" t="s">
        <v>305</v>
      </c>
      <c r="DP18" s="181" t="s">
        <v>305</v>
      </c>
      <c r="DQ18" s="181" t="s">
        <v>305</v>
      </c>
      <c r="DR18" s="181" t="s">
        <v>305</v>
      </c>
      <c r="DS18" s="181" t="s">
        <v>305</v>
      </c>
      <c r="DT18" s="181" t="s">
        <v>305</v>
      </c>
      <c r="DU18" s="182" t="s">
        <v>305</v>
      </c>
      <c r="DV18" s="170">
        <v>1</v>
      </c>
      <c r="DW18" s="170">
        <v>0</v>
      </c>
      <c r="DX18" s="178">
        <v>0</v>
      </c>
      <c r="DY18" s="173">
        <v>1</v>
      </c>
      <c r="DZ18" s="173">
        <v>0</v>
      </c>
      <c r="EA18" s="173">
        <v>0</v>
      </c>
      <c r="EB18" s="173">
        <v>0</v>
      </c>
      <c r="EC18" s="173">
        <v>2</v>
      </c>
      <c r="ED18" s="173">
        <v>999</v>
      </c>
      <c r="EE18" s="177">
        <v>0</v>
      </c>
      <c r="EF18" s="173">
        <v>1</v>
      </c>
      <c r="EG18" s="183">
        <v>1</v>
      </c>
      <c r="EH18" s="183">
        <v>1</v>
      </c>
      <c r="EI18" s="173">
        <v>1</v>
      </c>
      <c r="EJ18" s="173">
        <v>0</v>
      </c>
      <c r="EK18" s="173">
        <v>0</v>
      </c>
      <c r="EL18" s="173">
        <v>999</v>
      </c>
      <c r="EM18" s="177">
        <v>0</v>
      </c>
      <c r="EN18" s="173">
        <v>1</v>
      </c>
      <c r="EO18" s="177">
        <v>999</v>
      </c>
      <c r="EP18" s="173">
        <v>1</v>
      </c>
      <c r="EQ18" s="173">
        <v>0</v>
      </c>
      <c r="ER18" s="177">
        <v>0</v>
      </c>
      <c r="ES18" s="173">
        <v>1</v>
      </c>
      <c r="ET18" s="173">
        <v>0</v>
      </c>
      <c r="EU18" s="173">
        <v>0</v>
      </c>
      <c r="EV18" s="173">
        <v>999</v>
      </c>
      <c r="EW18" s="173">
        <v>0</v>
      </c>
      <c r="EX18" s="173">
        <v>999</v>
      </c>
      <c r="EY18" s="177">
        <v>0</v>
      </c>
      <c r="EZ18" s="171">
        <v>2</v>
      </c>
      <c r="FA18" s="179">
        <v>999</v>
      </c>
      <c r="FB18" s="169">
        <v>2</v>
      </c>
      <c r="FC18" s="169">
        <v>0</v>
      </c>
      <c r="FD18" s="169">
        <v>0</v>
      </c>
      <c r="FE18" s="169">
        <v>0</v>
      </c>
      <c r="FF18" s="184">
        <v>0</v>
      </c>
      <c r="FG18" s="169">
        <v>2</v>
      </c>
      <c r="FH18" s="169">
        <v>0</v>
      </c>
      <c r="FI18" s="169">
        <v>0</v>
      </c>
      <c r="FJ18" s="169">
        <v>0</v>
      </c>
      <c r="FK18" s="184">
        <v>0</v>
      </c>
      <c r="FL18" s="184">
        <v>2</v>
      </c>
    </row>
    <row r="19" spans="1:168" s="31" customFormat="1" ht="15" customHeight="1" x14ac:dyDescent="0.3">
      <c r="A19" s="31" t="s">
        <v>332</v>
      </c>
      <c r="B19" s="129">
        <v>999</v>
      </c>
      <c r="C19" s="129">
        <v>1</v>
      </c>
      <c r="D19" s="129">
        <v>0</v>
      </c>
      <c r="E19" s="129">
        <v>0</v>
      </c>
      <c r="F19" s="129">
        <v>0</v>
      </c>
      <c r="G19" s="129">
        <v>0</v>
      </c>
      <c r="H19" s="129">
        <v>0</v>
      </c>
      <c r="I19" s="146">
        <v>1</v>
      </c>
      <c r="J19" s="146">
        <v>0.14000000000000001</v>
      </c>
      <c r="K19" s="146">
        <v>5</v>
      </c>
      <c r="L19" s="163">
        <v>134</v>
      </c>
      <c r="M19" s="163">
        <v>0</v>
      </c>
      <c r="N19" s="163">
        <v>7</v>
      </c>
      <c r="O19" s="159">
        <v>169</v>
      </c>
      <c r="P19" s="159">
        <v>0</v>
      </c>
      <c r="Q19" s="159">
        <v>4</v>
      </c>
      <c r="R19" s="129"/>
      <c r="S19" s="129" t="s">
        <v>305</v>
      </c>
      <c r="T19" s="129" t="s">
        <v>305</v>
      </c>
      <c r="U19" s="129" t="s">
        <v>305</v>
      </c>
      <c r="V19" s="129" t="s">
        <v>305</v>
      </c>
      <c r="W19" s="129" t="s">
        <v>305</v>
      </c>
      <c r="X19" s="129">
        <v>136</v>
      </c>
      <c r="Y19" s="129">
        <v>4</v>
      </c>
      <c r="Z19" s="129">
        <v>12</v>
      </c>
      <c r="AA19" s="129">
        <v>1</v>
      </c>
      <c r="AB19" s="29">
        <v>2</v>
      </c>
      <c r="AC19" s="29">
        <v>0</v>
      </c>
      <c r="AD19" s="29">
        <v>0</v>
      </c>
      <c r="AE19" s="29">
        <v>2</v>
      </c>
      <c r="AF19" s="29">
        <v>0</v>
      </c>
      <c r="AG19" s="29">
        <v>0</v>
      </c>
      <c r="AH19" s="147">
        <v>999</v>
      </c>
      <c r="AI19" s="147">
        <v>999</v>
      </c>
      <c r="AJ19" s="148">
        <v>999</v>
      </c>
      <c r="AK19" s="129">
        <v>1</v>
      </c>
      <c r="AL19" s="129">
        <v>999</v>
      </c>
      <c r="AM19" s="129">
        <v>999</v>
      </c>
      <c r="AN19" s="129">
        <v>999</v>
      </c>
      <c r="AO19" s="129">
        <v>999</v>
      </c>
      <c r="AP19" s="129">
        <v>999</v>
      </c>
      <c r="AQ19" s="129">
        <v>999</v>
      </c>
      <c r="AR19" s="129">
        <v>999</v>
      </c>
      <c r="AS19" s="129">
        <v>999</v>
      </c>
      <c r="AT19" s="129">
        <v>296</v>
      </c>
      <c r="AU19" s="29">
        <v>1</v>
      </c>
      <c r="AV19" s="29">
        <v>2</v>
      </c>
      <c r="AW19" s="29">
        <v>0</v>
      </c>
      <c r="AX19" s="29">
        <v>0</v>
      </c>
      <c r="AY19" s="29">
        <v>0</v>
      </c>
      <c r="AZ19" s="149">
        <v>3</v>
      </c>
      <c r="BA19" s="149">
        <v>999</v>
      </c>
      <c r="BB19" s="149">
        <v>999</v>
      </c>
      <c r="BC19" s="149">
        <v>0</v>
      </c>
      <c r="BD19" s="149">
        <v>0</v>
      </c>
      <c r="BE19" s="27">
        <v>2</v>
      </c>
      <c r="BF19" s="129">
        <v>1</v>
      </c>
      <c r="BG19" s="129">
        <v>0</v>
      </c>
      <c r="BH19" s="150">
        <v>150</v>
      </c>
      <c r="BI19" s="29">
        <v>0.01</v>
      </c>
      <c r="BJ19" s="29">
        <v>2</v>
      </c>
      <c r="BK19" s="29">
        <v>1</v>
      </c>
      <c r="BL19" s="27">
        <v>0</v>
      </c>
      <c r="BM19" s="129" t="s">
        <v>305</v>
      </c>
      <c r="BN19" s="129" t="s">
        <v>305</v>
      </c>
      <c r="BO19" s="129" t="s">
        <v>305</v>
      </c>
      <c r="BP19" s="129" t="s">
        <v>305</v>
      </c>
      <c r="BQ19" s="129" t="s">
        <v>305</v>
      </c>
      <c r="BR19" s="129" t="s">
        <v>305</v>
      </c>
      <c r="BS19" s="129">
        <v>1</v>
      </c>
      <c r="BT19" s="150">
        <v>0</v>
      </c>
      <c r="BU19" s="129">
        <v>999</v>
      </c>
      <c r="BV19" s="129" t="s">
        <v>369</v>
      </c>
      <c r="BW19" s="146">
        <v>2</v>
      </c>
      <c r="BX19" s="151">
        <v>0</v>
      </c>
      <c r="BY19" s="29">
        <v>1</v>
      </c>
      <c r="BZ19" s="29">
        <v>1</v>
      </c>
      <c r="CA19" s="27">
        <v>0</v>
      </c>
      <c r="CB19" s="29">
        <v>1</v>
      </c>
      <c r="CC19" s="29">
        <v>1</v>
      </c>
      <c r="CD19" s="29">
        <v>0</v>
      </c>
      <c r="CE19" s="29">
        <v>0</v>
      </c>
      <c r="CF19" s="29">
        <v>0</v>
      </c>
      <c r="CG19" s="29">
        <v>0</v>
      </c>
      <c r="CH19" s="27">
        <v>0</v>
      </c>
      <c r="CI19" s="27">
        <v>1</v>
      </c>
      <c r="CJ19" s="29">
        <v>2</v>
      </c>
      <c r="CK19" s="27">
        <v>0</v>
      </c>
      <c r="CL19" s="29">
        <v>2</v>
      </c>
      <c r="CM19" s="152">
        <v>2</v>
      </c>
      <c r="CN19" s="129">
        <v>1</v>
      </c>
      <c r="CO19" s="129">
        <v>2</v>
      </c>
      <c r="CP19" s="129">
        <v>0</v>
      </c>
      <c r="CQ19" s="150" t="s">
        <v>370</v>
      </c>
      <c r="CR19" s="153" t="s">
        <v>305</v>
      </c>
      <c r="CS19" s="153" t="s">
        <v>305</v>
      </c>
      <c r="CT19" s="153" t="s">
        <v>305</v>
      </c>
      <c r="CU19" s="153" t="s">
        <v>305</v>
      </c>
      <c r="CV19" s="153" t="s">
        <v>305</v>
      </c>
      <c r="CW19" s="153" t="s">
        <v>305</v>
      </c>
      <c r="CX19" s="153" t="s">
        <v>305</v>
      </c>
      <c r="CY19" s="153" t="s">
        <v>305</v>
      </c>
      <c r="CZ19" s="153" t="s">
        <v>305</v>
      </c>
      <c r="DA19" s="154" t="s">
        <v>305</v>
      </c>
      <c r="DB19" s="153" t="s">
        <v>305</v>
      </c>
      <c r="DC19" s="153" t="s">
        <v>305</v>
      </c>
      <c r="DD19" s="153" t="s">
        <v>305</v>
      </c>
      <c r="DE19" s="153" t="s">
        <v>305</v>
      </c>
      <c r="DF19" s="153" t="s">
        <v>305</v>
      </c>
      <c r="DG19" s="153" t="s">
        <v>305</v>
      </c>
      <c r="DH19" s="153" t="s">
        <v>305</v>
      </c>
      <c r="DI19" s="153" t="s">
        <v>305</v>
      </c>
      <c r="DJ19" s="153" t="s">
        <v>305</v>
      </c>
      <c r="DK19" s="154" t="s">
        <v>305</v>
      </c>
      <c r="DL19" s="153" t="s">
        <v>305</v>
      </c>
      <c r="DM19" s="153" t="s">
        <v>305</v>
      </c>
      <c r="DN19" s="153" t="s">
        <v>305</v>
      </c>
      <c r="DO19" s="153" t="s">
        <v>305</v>
      </c>
      <c r="DP19" s="153" t="s">
        <v>305</v>
      </c>
      <c r="DQ19" s="153" t="s">
        <v>305</v>
      </c>
      <c r="DR19" s="153" t="s">
        <v>305</v>
      </c>
      <c r="DS19" s="153" t="s">
        <v>305</v>
      </c>
      <c r="DT19" s="153" t="s">
        <v>305</v>
      </c>
      <c r="DU19" s="154" t="s">
        <v>305</v>
      </c>
      <c r="DV19" s="129">
        <v>1</v>
      </c>
      <c r="DW19" s="129">
        <v>0</v>
      </c>
      <c r="DX19" s="150">
        <v>0</v>
      </c>
      <c r="DY19" s="29">
        <v>1</v>
      </c>
      <c r="DZ19" s="29">
        <v>0</v>
      </c>
      <c r="EA19" s="29">
        <v>0</v>
      </c>
      <c r="EB19" s="29">
        <v>0</v>
      </c>
      <c r="EC19" s="29">
        <v>2</v>
      </c>
      <c r="ED19" s="29">
        <v>999</v>
      </c>
      <c r="EE19" s="27">
        <v>0</v>
      </c>
      <c r="EF19" s="29">
        <v>1</v>
      </c>
      <c r="EG19" s="28">
        <v>1</v>
      </c>
      <c r="EH19" s="28">
        <v>1</v>
      </c>
      <c r="EI19" s="29">
        <v>1</v>
      </c>
      <c r="EJ19" s="29">
        <v>0</v>
      </c>
      <c r="EK19" s="29">
        <v>0</v>
      </c>
      <c r="EL19" s="29">
        <v>999</v>
      </c>
      <c r="EM19" s="27">
        <v>0</v>
      </c>
      <c r="EN19" s="29">
        <v>1</v>
      </c>
      <c r="EO19" s="27">
        <v>999</v>
      </c>
      <c r="EP19" s="29">
        <v>1</v>
      </c>
      <c r="EQ19" s="29">
        <v>0</v>
      </c>
      <c r="ER19" s="27">
        <v>0</v>
      </c>
      <c r="ES19" s="29">
        <v>1</v>
      </c>
      <c r="ET19" s="29">
        <v>0</v>
      </c>
      <c r="EU19" s="29">
        <v>0</v>
      </c>
      <c r="EV19" s="29">
        <v>999</v>
      </c>
      <c r="EW19" s="29">
        <v>0</v>
      </c>
      <c r="EX19" s="29">
        <v>999</v>
      </c>
      <c r="EY19" s="27">
        <v>0</v>
      </c>
      <c r="EZ19" s="146">
        <v>2</v>
      </c>
      <c r="FA19" s="151">
        <v>999</v>
      </c>
      <c r="FB19">
        <v>2</v>
      </c>
      <c r="FC19">
        <v>0</v>
      </c>
      <c r="FD19">
        <v>0</v>
      </c>
      <c r="FE19">
        <v>0</v>
      </c>
      <c r="FF19" s="4">
        <v>0</v>
      </c>
      <c r="FG19">
        <v>2</v>
      </c>
      <c r="FH19">
        <v>0</v>
      </c>
      <c r="FI19">
        <v>0</v>
      </c>
      <c r="FJ19">
        <v>0</v>
      </c>
      <c r="FK19" s="4">
        <v>0</v>
      </c>
      <c r="FL19" s="4">
        <v>2</v>
      </c>
    </row>
    <row r="20" spans="1:168" s="31" customFormat="1" ht="15" customHeight="1" x14ac:dyDescent="0.3">
      <c r="A20" s="31" t="s">
        <v>334</v>
      </c>
      <c r="B20" s="129">
        <v>999</v>
      </c>
      <c r="C20" s="129">
        <v>1</v>
      </c>
      <c r="D20" s="129">
        <v>0</v>
      </c>
      <c r="E20" s="129">
        <v>0</v>
      </c>
      <c r="F20" s="129">
        <v>0</v>
      </c>
      <c r="G20" s="129">
        <v>0</v>
      </c>
      <c r="H20" s="129">
        <v>0</v>
      </c>
      <c r="I20" s="146">
        <v>1</v>
      </c>
      <c r="J20" s="146">
        <v>0.14000000000000001</v>
      </c>
      <c r="K20" s="146">
        <v>5</v>
      </c>
      <c r="L20" s="158">
        <v>299</v>
      </c>
      <c r="M20" s="158">
        <v>0</v>
      </c>
      <c r="N20" s="158">
        <v>19</v>
      </c>
      <c r="O20" s="157">
        <v>300</v>
      </c>
      <c r="P20" s="157">
        <v>0</v>
      </c>
      <c r="Q20" s="157">
        <v>7</v>
      </c>
      <c r="R20" s="159">
        <v>458</v>
      </c>
      <c r="S20" s="159">
        <v>0</v>
      </c>
      <c r="T20" s="159">
        <v>4</v>
      </c>
      <c r="U20" s="159">
        <v>476</v>
      </c>
      <c r="V20" s="159">
        <v>0</v>
      </c>
      <c r="W20" s="159">
        <v>4</v>
      </c>
      <c r="X20" s="129">
        <v>300</v>
      </c>
      <c r="Y20" s="129">
        <v>2</v>
      </c>
      <c r="Z20" s="129">
        <v>258.33333333333331</v>
      </c>
      <c r="AA20" s="129">
        <v>1</v>
      </c>
      <c r="AB20" s="29">
        <v>2</v>
      </c>
      <c r="AC20" s="29">
        <v>0</v>
      </c>
      <c r="AD20" s="29">
        <v>0</v>
      </c>
      <c r="AE20" s="29">
        <v>2</v>
      </c>
      <c r="AF20" s="29">
        <v>0</v>
      </c>
      <c r="AG20" s="29">
        <v>0</v>
      </c>
      <c r="AH20" s="147">
        <v>999</v>
      </c>
      <c r="AI20" s="147">
        <v>999</v>
      </c>
      <c r="AJ20" s="148">
        <v>999</v>
      </c>
      <c r="AK20" s="129">
        <v>1</v>
      </c>
      <c r="AL20" s="129">
        <v>999</v>
      </c>
      <c r="AM20" s="129">
        <v>999</v>
      </c>
      <c r="AN20" s="129">
        <v>999</v>
      </c>
      <c r="AO20" s="129">
        <v>999</v>
      </c>
      <c r="AP20" s="129">
        <v>999</v>
      </c>
      <c r="AQ20" s="129">
        <v>999</v>
      </c>
      <c r="AR20" s="129">
        <v>999</v>
      </c>
      <c r="AS20" s="129">
        <v>999</v>
      </c>
      <c r="AT20" s="129">
        <v>591</v>
      </c>
      <c r="AU20" s="29">
        <v>1</v>
      </c>
      <c r="AV20" s="29">
        <v>2</v>
      </c>
      <c r="AW20" s="29">
        <v>0</v>
      </c>
      <c r="AX20" s="29">
        <v>0</v>
      </c>
      <c r="AY20" s="29">
        <v>0</v>
      </c>
      <c r="AZ20" s="149">
        <v>3</v>
      </c>
      <c r="BA20" s="149">
        <v>999</v>
      </c>
      <c r="BB20" s="149">
        <v>999</v>
      </c>
      <c r="BC20" s="149">
        <v>0</v>
      </c>
      <c r="BD20" s="149">
        <v>0</v>
      </c>
      <c r="BE20" s="27">
        <v>2</v>
      </c>
      <c r="BF20" s="129">
        <v>1</v>
      </c>
      <c r="BG20" s="129">
        <v>0</v>
      </c>
      <c r="BH20" s="150">
        <v>150</v>
      </c>
      <c r="BI20" s="29">
        <v>0.01</v>
      </c>
      <c r="BJ20" s="29">
        <v>2</v>
      </c>
      <c r="BK20" s="29">
        <v>1</v>
      </c>
      <c r="BL20" s="27">
        <v>0</v>
      </c>
      <c r="BM20" s="129">
        <v>465</v>
      </c>
      <c r="BN20" s="129">
        <v>70</v>
      </c>
      <c r="BO20" s="129">
        <v>2</v>
      </c>
      <c r="BP20" s="129" t="s">
        <v>305</v>
      </c>
      <c r="BQ20" s="129" t="s">
        <v>305</v>
      </c>
      <c r="BR20" s="129" t="s">
        <v>305</v>
      </c>
      <c r="BS20" s="129">
        <v>1</v>
      </c>
      <c r="BT20" s="150">
        <v>0</v>
      </c>
      <c r="BU20" s="129">
        <v>999</v>
      </c>
      <c r="BV20" s="129" t="s">
        <v>369</v>
      </c>
      <c r="BW20" s="146">
        <v>2</v>
      </c>
      <c r="BX20" s="151">
        <v>0</v>
      </c>
      <c r="BY20" s="29">
        <v>1</v>
      </c>
      <c r="BZ20" s="29">
        <v>1</v>
      </c>
      <c r="CA20" s="27">
        <v>0</v>
      </c>
      <c r="CB20" s="29">
        <v>1</v>
      </c>
      <c r="CC20" s="29">
        <v>1</v>
      </c>
      <c r="CD20" s="29">
        <v>0</v>
      </c>
      <c r="CE20" s="29">
        <v>0</v>
      </c>
      <c r="CF20" s="29">
        <v>0</v>
      </c>
      <c r="CG20" s="29">
        <v>0</v>
      </c>
      <c r="CH20" s="27">
        <v>0</v>
      </c>
      <c r="CI20" s="27">
        <v>1</v>
      </c>
      <c r="CJ20" s="29">
        <v>2</v>
      </c>
      <c r="CK20" s="27">
        <v>0</v>
      </c>
      <c r="CL20" s="29">
        <v>2</v>
      </c>
      <c r="CM20" s="152">
        <v>2</v>
      </c>
      <c r="CN20" s="129">
        <v>1</v>
      </c>
      <c r="CO20" s="129">
        <v>2</v>
      </c>
      <c r="CP20" s="129">
        <v>0</v>
      </c>
      <c r="CQ20" s="150" t="s">
        <v>370</v>
      </c>
      <c r="CR20" s="153" t="s">
        <v>305</v>
      </c>
      <c r="CS20" s="153" t="s">
        <v>305</v>
      </c>
      <c r="CT20" s="153" t="s">
        <v>305</v>
      </c>
      <c r="CU20" s="153" t="s">
        <v>305</v>
      </c>
      <c r="CV20" s="153" t="s">
        <v>305</v>
      </c>
      <c r="CW20" s="153" t="s">
        <v>305</v>
      </c>
      <c r="CX20" s="153" t="s">
        <v>305</v>
      </c>
      <c r="CY20" s="153" t="s">
        <v>305</v>
      </c>
      <c r="CZ20" s="153" t="s">
        <v>305</v>
      </c>
      <c r="DA20" s="154" t="s">
        <v>305</v>
      </c>
      <c r="DB20" s="153" t="s">
        <v>305</v>
      </c>
      <c r="DC20" s="153" t="s">
        <v>305</v>
      </c>
      <c r="DD20" s="153" t="s">
        <v>305</v>
      </c>
      <c r="DE20" s="153" t="s">
        <v>305</v>
      </c>
      <c r="DF20" s="153" t="s">
        <v>305</v>
      </c>
      <c r="DG20" s="153" t="s">
        <v>305</v>
      </c>
      <c r="DH20" s="153" t="s">
        <v>305</v>
      </c>
      <c r="DI20" s="153" t="s">
        <v>305</v>
      </c>
      <c r="DJ20" s="153" t="s">
        <v>305</v>
      </c>
      <c r="DK20" s="154" t="s">
        <v>305</v>
      </c>
      <c r="DL20" s="153" t="s">
        <v>305</v>
      </c>
      <c r="DM20" s="153" t="s">
        <v>305</v>
      </c>
      <c r="DN20" s="153" t="s">
        <v>305</v>
      </c>
      <c r="DO20" s="153" t="s">
        <v>305</v>
      </c>
      <c r="DP20" s="153" t="s">
        <v>305</v>
      </c>
      <c r="DQ20" s="153" t="s">
        <v>305</v>
      </c>
      <c r="DR20" s="153" t="s">
        <v>305</v>
      </c>
      <c r="DS20" s="153" t="s">
        <v>305</v>
      </c>
      <c r="DT20" s="153" t="s">
        <v>305</v>
      </c>
      <c r="DU20" s="154" t="s">
        <v>305</v>
      </c>
      <c r="DV20" s="129">
        <v>1</v>
      </c>
      <c r="DW20" s="129">
        <v>0</v>
      </c>
      <c r="DX20" s="150">
        <v>0</v>
      </c>
      <c r="DY20" s="29">
        <v>1</v>
      </c>
      <c r="DZ20" s="29">
        <v>0</v>
      </c>
      <c r="EA20" s="29">
        <v>0</v>
      </c>
      <c r="EB20" s="29">
        <v>0</v>
      </c>
      <c r="EC20" s="29">
        <v>2</v>
      </c>
      <c r="ED20" s="29">
        <v>999</v>
      </c>
      <c r="EE20" s="27">
        <v>0</v>
      </c>
      <c r="EF20" s="29">
        <v>1</v>
      </c>
      <c r="EG20" s="28">
        <v>1</v>
      </c>
      <c r="EH20" s="28">
        <v>1</v>
      </c>
      <c r="EI20" s="29">
        <v>1</v>
      </c>
      <c r="EJ20" s="29">
        <v>0</v>
      </c>
      <c r="EK20" s="29">
        <v>0</v>
      </c>
      <c r="EL20" s="29">
        <v>999</v>
      </c>
      <c r="EM20" s="27">
        <v>0</v>
      </c>
      <c r="EN20" s="29">
        <v>1</v>
      </c>
      <c r="EO20" s="27">
        <v>999</v>
      </c>
      <c r="EP20" s="29">
        <v>1</v>
      </c>
      <c r="EQ20" s="29">
        <v>0</v>
      </c>
      <c r="ER20" s="27">
        <v>0</v>
      </c>
      <c r="ES20" s="29">
        <v>1</v>
      </c>
      <c r="ET20" s="29">
        <v>0</v>
      </c>
      <c r="EU20" s="29">
        <v>0</v>
      </c>
      <c r="EV20" s="29">
        <v>999</v>
      </c>
      <c r="EW20" s="29">
        <v>0</v>
      </c>
      <c r="EX20" s="29">
        <v>999</v>
      </c>
      <c r="EY20" s="27">
        <v>0</v>
      </c>
      <c r="EZ20" s="146">
        <v>2</v>
      </c>
      <c r="FA20" s="151">
        <v>999</v>
      </c>
      <c r="FB20">
        <v>2</v>
      </c>
      <c r="FC20">
        <v>0</v>
      </c>
      <c r="FD20">
        <v>0</v>
      </c>
      <c r="FE20">
        <v>0</v>
      </c>
      <c r="FF20" s="4">
        <v>0</v>
      </c>
      <c r="FG20">
        <v>2</v>
      </c>
      <c r="FH20">
        <v>0</v>
      </c>
      <c r="FI20">
        <v>0</v>
      </c>
      <c r="FJ20">
        <v>0</v>
      </c>
      <c r="FK20" s="4">
        <v>0</v>
      </c>
      <c r="FL20" s="4">
        <v>2</v>
      </c>
    </row>
    <row r="21" spans="1:168" x14ac:dyDescent="0.3">
      <c r="U21"/>
      <c r="AB21" s="12"/>
      <c r="AI21" s="12"/>
      <c r="AJ21"/>
      <c r="AL21"/>
      <c r="AR21" s="12"/>
      <c r="AU21" s="12"/>
      <c r="AW21" s="12"/>
      <c r="AX21" s="12"/>
      <c r="BC21" s="12"/>
      <c r="BE21" s="12"/>
      <c r="BH21" s="12"/>
      <c r="BM21"/>
      <c r="BO21" s="9"/>
      <c r="BR21" s="12"/>
    </row>
    <row r="22" spans="1:168" x14ac:dyDescent="0.3">
      <c r="U22"/>
      <c r="AB22" s="12"/>
      <c r="AI22" s="12"/>
      <c r="AJ22"/>
      <c r="AL22"/>
      <c r="AR22" s="12"/>
      <c r="AU22" s="12"/>
      <c r="AW22" s="12"/>
      <c r="AX22" s="12"/>
      <c r="BC22" s="12"/>
      <c r="BE22" s="12"/>
      <c r="BH22" s="12"/>
      <c r="BM22"/>
      <c r="BO22" s="9"/>
      <c r="BR22" s="12"/>
    </row>
    <row r="23" spans="1:168" x14ac:dyDescent="0.3">
      <c r="A23" s="161" t="s">
        <v>418</v>
      </c>
      <c r="U23"/>
      <c r="AB23" s="12"/>
      <c r="AI23" s="12"/>
      <c r="AJ23"/>
      <c r="AL23"/>
      <c r="AR23" s="12"/>
      <c r="AU23" s="12"/>
      <c r="AW23" s="12"/>
      <c r="AX23" s="12"/>
      <c r="BC23" s="12"/>
      <c r="BE23" s="12"/>
      <c r="BH23" s="12"/>
      <c r="BM23"/>
      <c r="BO23" s="9"/>
      <c r="BR23" s="12"/>
    </row>
    <row r="24" spans="1:168" x14ac:dyDescent="0.3">
      <c r="A24" s="9" t="s">
        <v>420</v>
      </c>
      <c r="U24"/>
      <c r="AB24" s="12"/>
      <c r="AI24" s="12"/>
      <c r="AJ24"/>
      <c r="AL24"/>
      <c r="AR24" s="12"/>
      <c r="AU24" s="12"/>
      <c r="AW24" s="12"/>
      <c r="AX24" s="12"/>
      <c r="BC24" s="12"/>
      <c r="BE24" s="12"/>
      <c r="BH24" s="12"/>
      <c r="BM24"/>
      <c r="BO24" s="9"/>
      <c r="BR24" s="12"/>
    </row>
    <row r="25" spans="1:168" x14ac:dyDescent="0.3">
      <c r="A25" s="162" t="s">
        <v>419</v>
      </c>
      <c r="U25"/>
      <c r="AB25" s="12"/>
      <c r="AI25" s="12"/>
      <c r="AJ25"/>
      <c r="AL25"/>
      <c r="AR25" s="12"/>
      <c r="AU25" s="12"/>
      <c r="AW25" s="12"/>
      <c r="AX25" s="12"/>
      <c r="BC25" s="12"/>
      <c r="BE25" s="12"/>
      <c r="BH25" s="12"/>
      <c r="BM25"/>
      <c r="BO25" s="9"/>
      <c r="BR25" s="12"/>
    </row>
    <row r="26" spans="1:168" x14ac:dyDescent="0.3">
      <c r="A26" s="185" t="s">
        <v>416</v>
      </c>
      <c r="U26"/>
      <c r="AB26" s="12"/>
      <c r="AI26" s="12"/>
      <c r="AJ26"/>
      <c r="AL26"/>
      <c r="AR26" s="12"/>
      <c r="AU26" s="12"/>
      <c r="AW26" s="12"/>
      <c r="AX26" s="12"/>
      <c r="BC26" s="12"/>
      <c r="BE26" s="12"/>
      <c r="BH26" s="12"/>
      <c r="BM26"/>
      <c r="BO26" s="9"/>
      <c r="BR26" s="12"/>
    </row>
    <row r="27" spans="1:168" x14ac:dyDescent="0.3">
      <c r="A27" s="203" t="s">
        <v>417</v>
      </c>
      <c r="U27"/>
      <c r="AB27" s="12"/>
      <c r="AI27" s="12"/>
      <c r="AJ27"/>
      <c r="AL27"/>
      <c r="AR27" s="12"/>
      <c r="AU27" s="12"/>
      <c r="AW27" s="12"/>
      <c r="AX27" s="12"/>
      <c r="BC27" s="12"/>
      <c r="BE27" s="12"/>
      <c r="BH27" s="12"/>
      <c r="BM27"/>
      <c r="BO27" s="9"/>
      <c r="BR27" s="12"/>
    </row>
    <row r="28" spans="1:168" x14ac:dyDescent="0.3">
      <c r="U28"/>
      <c r="AB28" s="12"/>
      <c r="AI28" s="12"/>
      <c r="AJ28"/>
      <c r="AL28"/>
      <c r="AR28" s="12"/>
      <c r="AU28" s="12"/>
      <c r="AW28" s="12"/>
      <c r="AX28" s="12"/>
      <c r="BC28" s="12"/>
      <c r="BE28" s="12"/>
      <c r="BH28" s="12"/>
      <c r="BM28"/>
      <c r="BO28" s="9"/>
      <c r="BR28" s="12"/>
    </row>
    <row r="29" spans="1:168" x14ac:dyDescent="0.3">
      <c r="U29"/>
      <c r="AB29" s="12"/>
      <c r="AI29" s="12"/>
      <c r="AJ29"/>
      <c r="AL29"/>
      <c r="AR29" s="12"/>
      <c r="AU29" s="12"/>
      <c r="AW29" s="12"/>
      <c r="AX29" s="12"/>
      <c r="BC29" s="12"/>
      <c r="BE29" s="12"/>
      <c r="BH29" s="12"/>
      <c r="BM29"/>
      <c r="BO29" s="9"/>
      <c r="BR29" s="12"/>
    </row>
    <row r="30" spans="1:168" x14ac:dyDescent="0.3">
      <c r="U30"/>
      <c r="AB30" s="12"/>
      <c r="AI30" s="12"/>
      <c r="AJ30"/>
      <c r="AL30"/>
      <c r="AR30" s="12"/>
      <c r="AU30" s="12"/>
      <c r="AW30" s="12"/>
      <c r="AX30" s="12"/>
      <c r="BC30" s="12"/>
      <c r="BE30" s="12"/>
      <c r="BH30" s="12"/>
      <c r="BM30"/>
      <c r="BO30" s="9"/>
      <c r="BR30" s="12"/>
    </row>
    <row r="31" spans="1:168" x14ac:dyDescent="0.3">
      <c r="U31"/>
      <c r="AB31" s="12"/>
      <c r="AI31" s="12"/>
      <c r="AJ31"/>
      <c r="AL31"/>
      <c r="AR31" s="12"/>
      <c r="AU31" s="12"/>
      <c r="AW31" s="12"/>
      <c r="AX31" s="12"/>
      <c r="BC31" s="12"/>
      <c r="BE31" s="12"/>
      <c r="BH31" s="12"/>
      <c r="BM31"/>
      <c r="BO31" s="9"/>
      <c r="BR31" s="12"/>
    </row>
    <row r="32" spans="1:168" x14ac:dyDescent="0.3">
      <c r="U32"/>
      <c r="AB32" s="12"/>
      <c r="AI32" s="12"/>
      <c r="AJ32"/>
      <c r="AL32"/>
      <c r="AR32" s="12"/>
      <c r="AU32" s="12"/>
      <c r="AW32" s="12"/>
      <c r="AX32" s="12"/>
      <c r="BC32" s="12"/>
      <c r="BE32" s="12"/>
      <c r="BH32" s="12"/>
      <c r="BM32"/>
      <c r="BO32" s="9"/>
      <c r="BR32" s="12"/>
    </row>
    <row r="33" spans="21:70" x14ac:dyDescent="0.3">
      <c r="U33"/>
      <c r="AB33" s="12"/>
      <c r="AI33" s="12"/>
      <c r="AJ33"/>
      <c r="AL33"/>
      <c r="AR33" s="12"/>
      <c r="AU33" s="12"/>
      <c r="AW33" s="12"/>
      <c r="AX33" s="12"/>
      <c r="BC33" s="12"/>
      <c r="BE33" s="12"/>
      <c r="BH33" s="12"/>
      <c r="BM33"/>
      <c r="BO33" s="9"/>
      <c r="BR33" s="12"/>
    </row>
    <row r="34" spans="21:70" x14ac:dyDescent="0.3">
      <c r="U34"/>
      <c r="AB34" s="12"/>
      <c r="AI34" s="12"/>
      <c r="AJ34"/>
      <c r="AL34"/>
      <c r="AR34" s="12"/>
      <c r="AU34" s="12"/>
      <c r="AW34" s="12"/>
      <c r="AX34" s="12"/>
      <c r="BC34" s="12"/>
      <c r="BE34" s="12"/>
      <c r="BH34" s="12"/>
      <c r="BM34"/>
      <c r="BO34" s="9"/>
      <c r="BR34" s="12"/>
    </row>
    <row r="35" spans="21:70" x14ac:dyDescent="0.3">
      <c r="U35"/>
      <c r="AB35" s="12"/>
      <c r="AI35" s="12"/>
      <c r="AJ35"/>
      <c r="AL35"/>
      <c r="AR35" s="12"/>
      <c r="AU35" s="12"/>
      <c r="AW35" s="12"/>
      <c r="AX35" s="12"/>
      <c r="BC35" s="12"/>
      <c r="BE35" s="12"/>
      <c r="BH35" s="12"/>
      <c r="BM35"/>
      <c r="BO35" s="9"/>
      <c r="BR35" s="12"/>
    </row>
    <row r="36" spans="21:70" x14ac:dyDescent="0.3">
      <c r="U36"/>
      <c r="AB36" s="12"/>
      <c r="AI36" s="12"/>
      <c r="AJ36"/>
      <c r="AL36"/>
      <c r="AR36" s="12"/>
      <c r="AU36" s="12"/>
      <c r="AW36" s="12"/>
      <c r="AX36" s="12"/>
      <c r="BC36" s="12"/>
      <c r="BE36" s="12"/>
      <c r="BH36" s="12"/>
      <c r="BM36"/>
      <c r="BO36" s="9"/>
      <c r="BR36" s="12"/>
    </row>
    <row r="37" spans="21:70" x14ac:dyDescent="0.3">
      <c r="U37"/>
      <c r="AB37" s="12"/>
      <c r="AI37" s="12"/>
      <c r="AJ37"/>
      <c r="AL37"/>
      <c r="AR37" s="12"/>
      <c r="AU37" s="12"/>
      <c r="AW37" s="12"/>
      <c r="AX37" s="12"/>
      <c r="BC37" s="12"/>
      <c r="BE37" s="12"/>
      <c r="BH37" s="12"/>
      <c r="BM37"/>
      <c r="BO37" s="9"/>
      <c r="BR37" s="12"/>
    </row>
    <row r="38" spans="21:70" x14ac:dyDescent="0.3">
      <c r="U38"/>
      <c r="AB38" s="12"/>
      <c r="AI38" s="12"/>
      <c r="AJ38"/>
      <c r="AL38"/>
      <c r="AR38" s="12"/>
      <c r="AU38" s="12"/>
      <c r="AW38" s="12"/>
      <c r="AX38" s="12"/>
      <c r="BC38" s="12"/>
      <c r="BE38" s="12"/>
      <c r="BH38" s="12"/>
      <c r="BM38"/>
      <c r="BO38" s="9"/>
      <c r="BR38" s="12"/>
    </row>
    <row r="39" spans="21:70" x14ac:dyDescent="0.3">
      <c r="U39"/>
      <c r="AB39" s="12"/>
      <c r="AI39" s="12"/>
      <c r="AJ39"/>
      <c r="AL39"/>
      <c r="AR39" s="12"/>
      <c r="AU39" s="12"/>
      <c r="AW39" s="12"/>
      <c r="AX39" s="12"/>
      <c r="BC39" s="12"/>
      <c r="BE39" s="12"/>
      <c r="BH39" s="12"/>
      <c r="BM39"/>
      <c r="BO39" s="9"/>
      <c r="BR39" s="12"/>
    </row>
    <row r="40" spans="21:70" x14ac:dyDescent="0.3">
      <c r="U40"/>
      <c r="AB40" s="12"/>
      <c r="AI40" s="12"/>
      <c r="AJ40"/>
      <c r="AL40"/>
      <c r="AR40" s="12"/>
      <c r="AU40" s="12"/>
      <c r="AW40" s="12"/>
      <c r="AX40" s="12"/>
      <c r="BC40" s="12"/>
      <c r="BE40" s="12"/>
      <c r="BH40" s="12"/>
      <c r="BM40"/>
      <c r="BO40" s="9"/>
      <c r="BR40" s="12"/>
    </row>
    <row r="41" spans="21:70" x14ac:dyDescent="0.3">
      <c r="U41"/>
      <c r="AB41" s="12"/>
      <c r="AI41" s="12"/>
      <c r="AJ41"/>
      <c r="AL41"/>
      <c r="AR41" s="12"/>
      <c r="AU41" s="12"/>
      <c r="AW41" s="12"/>
      <c r="AX41" s="12"/>
      <c r="BC41" s="12"/>
      <c r="BE41" s="12"/>
      <c r="BH41" s="12"/>
      <c r="BM41"/>
      <c r="BO41" s="9"/>
      <c r="BR41" s="12"/>
    </row>
    <row r="42" spans="21:70" x14ac:dyDescent="0.3">
      <c r="U42"/>
      <c r="AB42" s="12"/>
      <c r="AI42" s="12"/>
      <c r="AJ42"/>
      <c r="AL42"/>
      <c r="AR42" s="12"/>
      <c r="AU42" s="12"/>
      <c r="AW42" s="12"/>
      <c r="AX42" s="12"/>
      <c r="BC42" s="12"/>
      <c r="BE42" s="12"/>
      <c r="BH42" s="12"/>
      <c r="BM42"/>
      <c r="BO42" s="9"/>
      <c r="BR42" s="12"/>
    </row>
    <row r="43" spans="21:70" x14ac:dyDescent="0.3">
      <c r="U43"/>
      <c r="AB43" s="12"/>
      <c r="AI43" s="12"/>
      <c r="AJ43"/>
      <c r="AL43"/>
      <c r="AR43" s="12"/>
      <c r="AU43" s="12"/>
      <c r="AW43" s="12"/>
      <c r="AX43" s="12"/>
      <c r="BC43" s="12"/>
      <c r="BE43" s="12"/>
      <c r="BH43" s="12"/>
      <c r="BM43"/>
      <c r="BO43" s="9"/>
      <c r="BR43" s="12"/>
    </row>
    <row r="44" spans="21:70" x14ac:dyDescent="0.3">
      <c r="U44"/>
      <c r="AB44" s="12"/>
      <c r="AI44" s="12"/>
      <c r="AJ44"/>
      <c r="AL44"/>
      <c r="AR44" s="12"/>
      <c r="AU44" s="12"/>
      <c r="AW44" s="12"/>
      <c r="AX44" s="12"/>
      <c r="BC44" s="12"/>
      <c r="BE44" s="12"/>
      <c r="BH44" s="12"/>
      <c r="BM44"/>
      <c r="BO44" s="9"/>
      <c r="BR44" s="12"/>
    </row>
    <row r="45" spans="21:70" x14ac:dyDescent="0.3">
      <c r="U45"/>
      <c r="AB45" s="12"/>
      <c r="AI45" s="12"/>
      <c r="AJ45"/>
      <c r="AL45"/>
      <c r="AR45" s="12"/>
      <c r="AU45" s="12"/>
      <c r="AW45" s="12"/>
      <c r="AX45" s="12"/>
      <c r="BC45" s="12"/>
      <c r="BE45" s="12"/>
      <c r="BH45" s="12"/>
      <c r="BM45"/>
      <c r="BO45" s="9"/>
      <c r="BR45" s="12"/>
    </row>
    <row r="46" spans="21:70" x14ac:dyDescent="0.3">
      <c r="U46"/>
      <c r="AB46" s="12"/>
      <c r="AI46" s="12"/>
      <c r="AJ46"/>
      <c r="AL46"/>
      <c r="AR46" s="12"/>
      <c r="AU46" s="12"/>
      <c r="AW46" s="12"/>
      <c r="AX46" s="12"/>
      <c r="BC46" s="12"/>
      <c r="BE46" s="12"/>
      <c r="BH46" s="12"/>
      <c r="BM46"/>
      <c r="BO46" s="9"/>
      <c r="BR46" s="12"/>
    </row>
    <row r="47" spans="21:70" x14ac:dyDescent="0.3">
      <c r="U47"/>
      <c r="AB47" s="12"/>
      <c r="AI47" s="12"/>
      <c r="AJ47"/>
      <c r="AL47"/>
      <c r="AR47" s="12"/>
      <c r="AU47" s="12"/>
      <c r="AW47" s="12"/>
      <c r="AX47" s="12"/>
      <c r="BC47" s="12"/>
      <c r="BE47" s="12"/>
      <c r="BH47" s="12"/>
      <c r="BM47"/>
      <c r="BO47" s="9"/>
      <c r="BR47" s="12"/>
    </row>
    <row r="48" spans="21:70" x14ac:dyDescent="0.3">
      <c r="U48"/>
      <c r="AB48" s="12"/>
      <c r="AI48" s="12"/>
      <c r="AJ48"/>
      <c r="AL48"/>
      <c r="AR48" s="12"/>
      <c r="AU48" s="12"/>
      <c r="AW48" s="12"/>
      <c r="AX48" s="12"/>
      <c r="BC48" s="12"/>
      <c r="BE48" s="12"/>
      <c r="BH48" s="12"/>
      <c r="BM48"/>
      <c r="BO48" s="9"/>
      <c r="BR48" s="12"/>
    </row>
    <row r="49" spans="21:70" x14ac:dyDescent="0.3">
      <c r="U49"/>
      <c r="AB49" s="12"/>
      <c r="AI49" s="12"/>
      <c r="AJ49"/>
      <c r="AL49"/>
      <c r="AR49" s="12"/>
      <c r="AU49" s="12"/>
      <c r="AW49" s="12"/>
      <c r="AX49" s="12"/>
      <c r="BC49" s="12"/>
      <c r="BE49" s="12"/>
      <c r="BH49" s="12"/>
      <c r="BM49"/>
      <c r="BO49" s="9"/>
      <c r="BR49" s="12"/>
    </row>
    <row r="50" spans="21:70" x14ac:dyDescent="0.3">
      <c r="U50"/>
      <c r="AB50" s="12"/>
      <c r="AI50" s="12"/>
      <c r="AJ50"/>
      <c r="AL50"/>
      <c r="AR50" s="12"/>
      <c r="AU50" s="12"/>
      <c r="AW50" s="12"/>
      <c r="AX50" s="12"/>
      <c r="BC50" s="12"/>
      <c r="BE50" s="12"/>
      <c r="BH50" s="12"/>
      <c r="BM50"/>
      <c r="BO50" s="9"/>
      <c r="BR50" s="12"/>
    </row>
    <row r="51" spans="21:70" x14ac:dyDescent="0.3">
      <c r="U51"/>
      <c r="AB51" s="12"/>
      <c r="AI51" s="12"/>
      <c r="AJ51"/>
      <c r="AL51"/>
      <c r="AR51" s="12"/>
      <c r="AU51" s="12"/>
      <c r="AW51" s="12"/>
      <c r="AX51" s="12"/>
      <c r="BC51" s="12"/>
      <c r="BE51" s="12"/>
      <c r="BH51" s="12"/>
      <c r="BM51"/>
      <c r="BO51" s="9"/>
      <c r="BR51" s="12"/>
    </row>
    <row r="52" spans="21:70" x14ac:dyDescent="0.3">
      <c r="U52"/>
      <c r="AB52" s="12"/>
      <c r="AI52" s="12"/>
      <c r="AJ52"/>
      <c r="AL52"/>
      <c r="AR52" s="12"/>
      <c r="AU52" s="12"/>
      <c r="AW52" s="12"/>
      <c r="AX52" s="12"/>
      <c r="BC52" s="12"/>
      <c r="BE52" s="12"/>
      <c r="BH52" s="12"/>
      <c r="BM52"/>
      <c r="BO52" s="9"/>
      <c r="BR52" s="12"/>
    </row>
    <row r="53" spans="21:70" x14ac:dyDescent="0.3">
      <c r="U53"/>
      <c r="AB53" s="12"/>
      <c r="AI53" s="12"/>
      <c r="AJ53"/>
      <c r="AL53"/>
      <c r="AR53" s="12"/>
      <c r="AU53" s="12"/>
      <c r="AW53" s="12"/>
      <c r="AX53" s="12"/>
      <c r="BC53" s="12"/>
      <c r="BE53" s="12"/>
      <c r="BH53" s="12"/>
      <c r="BM53"/>
      <c r="BO53" s="9"/>
      <c r="BR53" s="12"/>
    </row>
    <row r="54" spans="21:70" x14ac:dyDescent="0.3">
      <c r="U54"/>
      <c r="AB54" s="12"/>
      <c r="AI54" s="12"/>
      <c r="AJ54"/>
      <c r="AL54"/>
      <c r="AR54" s="12"/>
      <c r="AU54" s="12"/>
      <c r="AW54" s="12"/>
      <c r="AX54" s="12"/>
      <c r="BC54" s="12"/>
      <c r="BE54" s="12"/>
      <c r="BH54" s="12"/>
      <c r="BM54"/>
      <c r="BO54" s="9"/>
      <c r="BR54" s="12"/>
    </row>
    <row r="55" spans="21:70" x14ac:dyDescent="0.3">
      <c r="U55"/>
      <c r="AB55" s="12"/>
      <c r="AI55" s="12"/>
      <c r="AJ55"/>
      <c r="AL55"/>
      <c r="AR55" s="12"/>
      <c r="AU55" s="12"/>
      <c r="AW55" s="12"/>
      <c r="AX55" s="12"/>
      <c r="BC55" s="12"/>
      <c r="BE55" s="12"/>
      <c r="BH55" s="12"/>
      <c r="BM55"/>
      <c r="BO55" s="9"/>
      <c r="BR55" s="12"/>
    </row>
    <row r="56" spans="21:70" x14ac:dyDescent="0.3">
      <c r="U56"/>
      <c r="AB56" s="12"/>
      <c r="AI56" s="12"/>
      <c r="AJ56"/>
      <c r="AL56"/>
      <c r="AR56" s="12"/>
      <c r="AU56" s="12"/>
      <c r="AW56" s="12"/>
      <c r="AX56" s="12"/>
      <c r="BC56" s="12"/>
      <c r="BE56" s="12"/>
      <c r="BH56" s="12"/>
      <c r="BM56"/>
      <c r="BO56" s="9"/>
      <c r="BR56" s="12"/>
    </row>
    <row r="57" spans="21:70" x14ac:dyDescent="0.3">
      <c r="U57"/>
      <c r="AB57" s="12"/>
      <c r="AI57" s="12"/>
      <c r="AJ57"/>
      <c r="AL57"/>
      <c r="AR57" s="12"/>
      <c r="AU57" s="12"/>
      <c r="AW57" s="12"/>
      <c r="AX57" s="12"/>
      <c r="BC57" s="12"/>
      <c r="BE57" s="12"/>
      <c r="BH57" s="12"/>
      <c r="BM57"/>
      <c r="BO57" s="9"/>
      <c r="BR57" s="12"/>
    </row>
    <row r="58" spans="21:70" x14ac:dyDescent="0.3">
      <c r="U58"/>
      <c r="AB58" s="12"/>
      <c r="AI58" s="12"/>
      <c r="AJ58"/>
      <c r="AL58"/>
      <c r="AR58" s="12"/>
      <c r="AU58" s="12"/>
      <c r="AW58" s="12"/>
      <c r="AX58" s="12"/>
      <c r="BC58" s="12"/>
      <c r="BE58" s="12"/>
      <c r="BH58" s="12"/>
      <c r="BM58"/>
      <c r="BO58" s="9"/>
      <c r="BR58" s="12"/>
    </row>
    <row r="59" spans="21:70" x14ac:dyDescent="0.3">
      <c r="U59"/>
      <c r="AB59" s="12"/>
      <c r="AI59" s="12"/>
      <c r="AJ59"/>
      <c r="AL59"/>
      <c r="AR59" s="12"/>
      <c r="AU59" s="12"/>
      <c r="AW59" s="12"/>
      <c r="AX59" s="12"/>
      <c r="BC59" s="12"/>
      <c r="BE59" s="12"/>
      <c r="BH59" s="12"/>
      <c r="BM59"/>
      <c r="BO59" s="9"/>
      <c r="BR59" s="12"/>
    </row>
    <row r="60" spans="21:70" x14ac:dyDescent="0.3">
      <c r="U60"/>
      <c r="AB60" s="12"/>
      <c r="AI60" s="12"/>
      <c r="AJ60"/>
      <c r="AL60"/>
      <c r="AR60" s="12"/>
      <c r="AU60" s="12"/>
      <c r="AW60" s="12"/>
      <c r="AX60" s="12"/>
      <c r="BC60" s="12"/>
      <c r="BE60" s="12"/>
      <c r="BH60" s="12"/>
      <c r="BM60"/>
      <c r="BO60" s="9"/>
      <c r="BR60" s="12"/>
    </row>
    <row r="61" spans="21:70" x14ac:dyDescent="0.3">
      <c r="U61"/>
      <c r="AB61" s="12"/>
      <c r="AI61" s="12"/>
      <c r="AJ61"/>
      <c r="AL61"/>
      <c r="AR61" s="12"/>
      <c r="AU61" s="12"/>
      <c r="AW61" s="12"/>
      <c r="AX61" s="12"/>
      <c r="BC61" s="12"/>
      <c r="BE61" s="12"/>
      <c r="BH61" s="12"/>
      <c r="BM61"/>
      <c r="BO61" s="9"/>
      <c r="BR61" s="12"/>
    </row>
    <row r="62" spans="21:70" x14ac:dyDescent="0.3">
      <c r="U62"/>
      <c r="AB62" s="12"/>
      <c r="AI62" s="12"/>
      <c r="AJ62"/>
      <c r="AL62"/>
      <c r="AR62" s="12"/>
      <c r="AU62" s="12"/>
      <c r="AW62" s="12"/>
      <c r="AX62" s="12"/>
      <c r="BC62" s="12"/>
      <c r="BE62" s="12"/>
      <c r="BH62" s="12"/>
      <c r="BM62"/>
      <c r="BO62" s="9"/>
      <c r="BR62" s="12"/>
    </row>
    <row r="63" spans="21:70" x14ac:dyDescent="0.3">
      <c r="U63"/>
      <c r="AB63" s="12"/>
      <c r="AI63" s="12"/>
      <c r="AJ63"/>
      <c r="AL63"/>
      <c r="AR63" s="12"/>
      <c r="AU63" s="12"/>
      <c r="AW63" s="12"/>
      <c r="AX63" s="12"/>
      <c r="BC63" s="12"/>
      <c r="BE63" s="12"/>
      <c r="BH63" s="12"/>
      <c r="BM63"/>
      <c r="BO63" s="9"/>
      <c r="BR63" s="12"/>
    </row>
    <row r="64" spans="21:70" x14ac:dyDescent="0.3">
      <c r="U64"/>
      <c r="AB64" s="12"/>
      <c r="AI64" s="12"/>
      <c r="AJ64"/>
      <c r="AL64"/>
      <c r="AR64" s="12"/>
      <c r="AU64" s="12"/>
      <c r="AW64" s="12"/>
      <c r="AX64" s="12"/>
      <c r="BC64" s="12"/>
      <c r="BE64" s="12"/>
      <c r="BH64" s="12"/>
      <c r="BM64"/>
      <c r="BO64" s="9"/>
      <c r="BR64" s="12"/>
    </row>
    <row r="65" spans="21:70" x14ac:dyDescent="0.3">
      <c r="U65"/>
      <c r="AB65" s="12"/>
      <c r="AI65" s="12"/>
      <c r="AJ65"/>
      <c r="AL65"/>
      <c r="AR65" s="12"/>
      <c r="AU65" s="12"/>
      <c r="AW65" s="12"/>
      <c r="AX65" s="12"/>
      <c r="BC65" s="12"/>
      <c r="BE65" s="12"/>
      <c r="BH65" s="12"/>
      <c r="BM65"/>
      <c r="BO65" s="9"/>
      <c r="BR65" s="12"/>
    </row>
    <row r="66" spans="21:70" x14ac:dyDescent="0.3">
      <c r="U66"/>
      <c r="AB66" s="12"/>
      <c r="AI66" s="12"/>
      <c r="AJ66"/>
      <c r="AL66"/>
      <c r="AR66" s="12"/>
      <c r="AU66" s="12"/>
      <c r="AW66" s="12"/>
      <c r="AX66" s="12"/>
      <c r="BC66" s="12"/>
      <c r="BE66" s="12"/>
      <c r="BH66" s="12"/>
      <c r="BM66"/>
      <c r="BO66" s="9"/>
      <c r="BR66" s="12"/>
    </row>
    <row r="67" spans="21:70" x14ac:dyDescent="0.3">
      <c r="U67"/>
      <c r="AB67" s="12"/>
      <c r="AI67" s="12"/>
      <c r="AJ67"/>
      <c r="AL67"/>
      <c r="AR67" s="12"/>
      <c r="AU67" s="12"/>
      <c r="AW67" s="12"/>
      <c r="AX67" s="12"/>
      <c r="BC67" s="12"/>
      <c r="BE67" s="12"/>
      <c r="BH67" s="12"/>
      <c r="BM67"/>
      <c r="BO67" s="9"/>
      <c r="BR67" s="12"/>
    </row>
    <row r="68" spans="21:70" x14ac:dyDescent="0.3">
      <c r="U68"/>
      <c r="AB68" s="12"/>
      <c r="AI68" s="12"/>
      <c r="AJ68"/>
      <c r="AL68"/>
      <c r="AR68" s="12"/>
      <c r="AU68" s="12"/>
      <c r="AW68" s="12"/>
      <c r="AX68" s="12"/>
      <c r="BC68" s="12"/>
      <c r="BE68" s="12"/>
      <c r="BH68" s="12"/>
      <c r="BM68"/>
      <c r="BO68" s="9"/>
      <c r="BR68" s="12"/>
    </row>
    <row r="69" spans="21:70" x14ac:dyDescent="0.3">
      <c r="U69"/>
      <c r="AB69" s="12"/>
      <c r="AI69" s="12"/>
      <c r="AJ69"/>
      <c r="AL69"/>
      <c r="AR69" s="12"/>
      <c r="AU69" s="12"/>
      <c r="AW69" s="12"/>
      <c r="AX69" s="12"/>
      <c r="BC69" s="12"/>
      <c r="BE69" s="12"/>
      <c r="BH69" s="12"/>
      <c r="BM69"/>
      <c r="BO69" s="9"/>
      <c r="BR69" s="12"/>
    </row>
    <row r="70" spans="21:70" x14ac:dyDescent="0.3">
      <c r="U70"/>
      <c r="AB70" s="12"/>
      <c r="AI70" s="12"/>
      <c r="AJ70"/>
      <c r="AL70"/>
      <c r="AR70" s="12"/>
      <c r="AU70" s="12"/>
      <c r="AW70" s="12"/>
      <c r="AX70" s="12"/>
      <c r="BC70" s="12"/>
      <c r="BE70" s="12"/>
      <c r="BH70" s="12"/>
      <c r="BM70"/>
      <c r="BO70" s="9"/>
      <c r="BR70" s="12"/>
    </row>
    <row r="71" spans="21:70" x14ac:dyDescent="0.3">
      <c r="U71"/>
      <c r="AB71" s="12"/>
      <c r="AI71" s="12"/>
      <c r="AJ71"/>
      <c r="AL71"/>
      <c r="AR71" s="12"/>
      <c r="AU71" s="12"/>
      <c r="AW71" s="12"/>
      <c r="AX71" s="12"/>
      <c r="BC71" s="12"/>
      <c r="BE71" s="12"/>
      <c r="BH71" s="12"/>
      <c r="BM71"/>
      <c r="BO71" s="9"/>
      <c r="BR71" s="12"/>
    </row>
    <row r="72" spans="21:70" x14ac:dyDescent="0.3">
      <c r="U72"/>
      <c r="AB72" s="12"/>
      <c r="AI72" s="12"/>
      <c r="AJ72"/>
      <c r="AL72"/>
      <c r="AR72" s="12"/>
      <c r="AU72" s="12"/>
      <c r="AW72" s="12"/>
      <c r="AX72" s="12"/>
      <c r="BC72" s="12"/>
      <c r="BE72" s="12"/>
      <c r="BH72" s="12"/>
      <c r="BM72"/>
      <c r="BO72" s="9"/>
      <c r="BR72" s="12"/>
    </row>
    <row r="73" spans="21:70" x14ac:dyDescent="0.3">
      <c r="U73"/>
      <c r="AB73" s="12"/>
      <c r="AI73" s="12"/>
      <c r="AJ73"/>
      <c r="AL73"/>
      <c r="AR73" s="12"/>
      <c r="AU73" s="12"/>
      <c r="AW73" s="12"/>
      <c r="AX73" s="12"/>
      <c r="BC73" s="12"/>
      <c r="BE73" s="12"/>
      <c r="BH73" s="12"/>
      <c r="BM73"/>
      <c r="BO73" s="9"/>
      <c r="BR73" s="12"/>
    </row>
    <row r="74" spans="21:70" x14ac:dyDescent="0.3">
      <c r="U74"/>
      <c r="AB74" s="12"/>
      <c r="AI74" s="12"/>
      <c r="AJ74"/>
      <c r="AL74"/>
      <c r="AR74" s="12"/>
      <c r="AU74" s="12"/>
      <c r="AW74" s="12"/>
      <c r="AX74" s="12"/>
      <c r="BC74" s="12"/>
      <c r="BE74" s="12"/>
      <c r="BH74" s="12"/>
      <c r="BM74"/>
      <c r="BO74" s="9"/>
      <c r="BR74" s="12"/>
    </row>
    <row r="75" spans="21:70" x14ac:dyDescent="0.3">
      <c r="U75"/>
      <c r="AB75" s="12"/>
      <c r="AI75" s="12"/>
      <c r="AJ75"/>
      <c r="AL75"/>
      <c r="AR75" s="12"/>
      <c r="AU75" s="12"/>
      <c r="AW75" s="12"/>
      <c r="AX75" s="12"/>
      <c r="BC75" s="12"/>
      <c r="BE75" s="12"/>
      <c r="BH75" s="12"/>
      <c r="BM75"/>
      <c r="BO75" s="9"/>
      <c r="BR75" s="12"/>
    </row>
    <row r="76" spans="21:70" x14ac:dyDescent="0.3">
      <c r="U76"/>
      <c r="AB76" s="12"/>
      <c r="AI76" s="12"/>
      <c r="AJ76"/>
      <c r="AL76"/>
      <c r="AR76" s="12"/>
      <c r="AU76" s="12"/>
      <c r="AW76" s="12"/>
      <c r="AX76" s="12"/>
      <c r="BC76" s="12"/>
      <c r="BE76" s="12"/>
      <c r="BH76" s="12"/>
      <c r="BM76"/>
      <c r="BO76" s="9"/>
      <c r="BR76" s="12"/>
    </row>
    <row r="77" spans="21:70" x14ac:dyDescent="0.3">
      <c r="U77"/>
      <c r="AB77" s="12"/>
      <c r="AI77" s="12"/>
      <c r="AJ77"/>
      <c r="AL77"/>
      <c r="AR77" s="12"/>
      <c r="AU77" s="12"/>
      <c r="AW77" s="12"/>
      <c r="AX77" s="12"/>
      <c r="BC77" s="12"/>
      <c r="BE77" s="12"/>
      <c r="BH77" s="12"/>
      <c r="BM77"/>
      <c r="BO77" s="9"/>
      <c r="BR77" s="12"/>
    </row>
    <row r="78" spans="21:70" x14ac:dyDescent="0.3">
      <c r="U78"/>
      <c r="AB78" s="12"/>
      <c r="AI78" s="12"/>
      <c r="AJ78"/>
      <c r="AL78"/>
      <c r="AR78" s="12"/>
      <c r="AU78" s="12"/>
      <c r="AW78" s="12"/>
      <c r="AX78" s="12"/>
      <c r="BC78" s="12"/>
      <c r="BE78" s="12"/>
      <c r="BH78" s="12"/>
      <c r="BM78"/>
      <c r="BO78" s="9"/>
      <c r="BR78" s="12"/>
    </row>
    <row r="79" spans="21:70" x14ac:dyDescent="0.3">
      <c r="U79"/>
      <c r="AB79" s="12"/>
      <c r="AI79" s="12"/>
      <c r="AJ79"/>
      <c r="AL79"/>
      <c r="AR79" s="12"/>
      <c r="AU79" s="12"/>
      <c r="AW79" s="12"/>
      <c r="AX79" s="12"/>
      <c r="BC79" s="12"/>
      <c r="BE79" s="12"/>
      <c r="BH79" s="12"/>
      <c r="BM79"/>
      <c r="BO79" s="9"/>
      <c r="BR79" s="12"/>
    </row>
    <row r="80" spans="21:70" x14ac:dyDescent="0.3">
      <c r="U80"/>
      <c r="AB80" s="12"/>
      <c r="AI80" s="12"/>
      <c r="AJ80"/>
      <c r="AL80"/>
      <c r="AR80" s="12"/>
      <c r="AU80" s="12"/>
      <c r="AW80" s="12"/>
      <c r="AX80" s="12"/>
      <c r="BC80" s="12"/>
      <c r="BE80" s="12"/>
      <c r="BH80" s="12"/>
      <c r="BM80"/>
      <c r="BO80" s="9"/>
      <c r="BR80" s="12"/>
    </row>
    <row r="81" spans="21:70" x14ac:dyDescent="0.3">
      <c r="U81"/>
      <c r="AB81" s="12"/>
      <c r="AI81" s="12"/>
      <c r="AJ81"/>
      <c r="AL81"/>
      <c r="AR81" s="12"/>
      <c r="AU81" s="12"/>
      <c r="AW81" s="12"/>
      <c r="AX81" s="12"/>
      <c r="BC81" s="12"/>
      <c r="BE81" s="12"/>
      <c r="BH81" s="12"/>
      <c r="BM81"/>
      <c r="BO81" s="9"/>
      <c r="BR81" s="12"/>
    </row>
    <row r="82" spans="21:70" x14ac:dyDescent="0.3">
      <c r="U82"/>
      <c r="AB82" s="12"/>
      <c r="AI82" s="12"/>
      <c r="AJ82"/>
      <c r="AL82"/>
      <c r="AR82" s="12"/>
      <c r="AU82" s="12"/>
      <c r="AW82" s="12"/>
      <c r="AX82" s="12"/>
      <c r="BC82" s="12"/>
      <c r="BE82" s="12"/>
      <c r="BH82" s="12"/>
      <c r="BM82"/>
      <c r="BO82" s="9"/>
      <c r="BR82" s="12"/>
    </row>
    <row r="83" spans="21:70" x14ac:dyDescent="0.3">
      <c r="U83"/>
      <c r="AB83" s="12"/>
      <c r="AI83" s="12"/>
      <c r="AJ83"/>
      <c r="AL83"/>
      <c r="AR83" s="12"/>
      <c r="AU83" s="12"/>
      <c r="AW83" s="12"/>
      <c r="AX83" s="12"/>
      <c r="BC83" s="12"/>
      <c r="BE83" s="12"/>
      <c r="BH83" s="12"/>
      <c r="BM83"/>
      <c r="BO83" s="9"/>
      <c r="BR83" s="12"/>
    </row>
    <row r="84" spans="21:70" x14ac:dyDescent="0.3">
      <c r="U84"/>
      <c r="AB84" s="12"/>
      <c r="AI84" s="12"/>
      <c r="AJ84"/>
      <c r="AL84"/>
      <c r="AR84" s="12"/>
      <c r="AU84" s="12"/>
      <c r="AW84" s="12"/>
      <c r="AX84" s="12"/>
      <c r="BC84" s="12"/>
      <c r="BE84" s="12"/>
      <c r="BH84" s="12"/>
      <c r="BM84"/>
      <c r="BO84" s="9"/>
      <c r="BR84" s="12"/>
    </row>
    <row r="85" spans="21:70" x14ac:dyDescent="0.3">
      <c r="U85"/>
      <c r="AB85" s="12"/>
      <c r="AI85" s="12"/>
      <c r="AJ85"/>
      <c r="AL85"/>
      <c r="AR85" s="12"/>
      <c r="AU85" s="12"/>
      <c r="AW85" s="12"/>
      <c r="AX85" s="12"/>
      <c r="BC85" s="12"/>
      <c r="BE85" s="12"/>
      <c r="BH85" s="12"/>
      <c r="BM85"/>
      <c r="BO85" s="9"/>
      <c r="BR85" s="12"/>
    </row>
    <row r="86" spans="21:70" x14ac:dyDescent="0.3">
      <c r="U86"/>
      <c r="AB86" s="12"/>
      <c r="AI86" s="12"/>
      <c r="AJ86"/>
      <c r="AL86"/>
      <c r="AR86" s="12"/>
      <c r="AU86" s="12"/>
      <c r="AW86" s="12"/>
      <c r="AX86" s="12"/>
      <c r="BC86" s="12"/>
      <c r="BE86" s="12"/>
      <c r="BH86" s="12"/>
      <c r="BM86"/>
      <c r="BO86" s="9"/>
      <c r="BR86" s="12"/>
    </row>
    <row r="87" spans="21:70" x14ac:dyDescent="0.3">
      <c r="U87"/>
      <c r="AB87" s="12"/>
      <c r="AI87" s="12"/>
      <c r="AJ87"/>
      <c r="AL87"/>
      <c r="AR87" s="12"/>
      <c r="AU87" s="12"/>
      <c r="AW87" s="12"/>
      <c r="AX87" s="12"/>
      <c r="BC87" s="12"/>
      <c r="BE87" s="12"/>
      <c r="BH87" s="12"/>
      <c r="BM87"/>
      <c r="BO87" s="9"/>
      <c r="BR87" s="12"/>
    </row>
    <row r="88" spans="21:70" x14ac:dyDescent="0.3">
      <c r="U88"/>
      <c r="AB88" s="12"/>
      <c r="AI88" s="12"/>
      <c r="AJ88"/>
      <c r="AL88"/>
      <c r="AR88" s="12"/>
      <c r="AU88" s="12"/>
      <c r="AW88" s="12"/>
      <c r="AX88" s="12"/>
      <c r="BC88" s="12"/>
      <c r="BE88" s="12"/>
      <c r="BH88" s="12"/>
      <c r="BM88"/>
      <c r="BO88" s="9"/>
      <c r="BR88" s="12"/>
    </row>
    <row r="89" spans="21:70" x14ac:dyDescent="0.3">
      <c r="U89"/>
      <c r="AB89" s="12"/>
      <c r="AI89" s="12"/>
      <c r="AJ89"/>
      <c r="AL89"/>
      <c r="AR89" s="12"/>
      <c r="AU89" s="12"/>
      <c r="AW89" s="12"/>
      <c r="AX89" s="12"/>
      <c r="BC89" s="12"/>
      <c r="BE89" s="12"/>
      <c r="BH89" s="12"/>
      <c r="BM89"/>
      <c r="BO89" s="9"/>
      <c r="BR89" s="12"/>
    </row>
    <row r="90" spans="21:70" x14ac:dyDescent="0.3">
      <c r="U90"/>
      <c r="AB90" s="12"/>
      <c r="AI90" s="12"/>
      <c r="AJ90"/>
      <c r="AL90"/>
      <c r="AR90" s="12"/>
      <c r="AU90" s="12"/>
      <c r="AW90" s="12"/>
      <c r="AX90" s="12"/>
      <c r="BC90" s="12"/>
      <c r="BE90" s="12"/>
      <c r="BH90" s="12"/>
      <c r="BM90"/>
      <c r="BO90" s="9"/>
      <c r="BR90" s="12"/>
    </row>
    <row r="91" spans="21:70" x14ac:dyDescent="0.3">
      <c r="U91"/>
      <c r="AB91" s="12"/>
      <c r="AI91" s="12"/>
      <c r="AJ91"/>
      <c r="AL91"/>
      <c r="AR91" s="12"/>
      <c r="AU91" s="12"/>
      <c r="AW91" s="12"/>
      <c r="AX91" s="12"/>
      <c r="BC91" s="12"/>
      <c r="BE91" s="12"/>
      <c r="BH91" s="12"/>
      <c r="BM91"/>
      <c r="BO91" s="9"/>
      <c r="BR91" s="12"/>
    </row>
    <row r="92" spans="21:70" x14ac:dyDescent="0.3">
      <c r="U92"/>
      <c r="AB92" s="12"/>
      <c r="AI92" s="12"/>
      <c r="AJ92"/>
      <c r="AL92"/>
      <c r="AR92" s="12"/>
      <c r="AU92" s="12"/>
      <c r="AW92" s="12"/>
      <c r="AX92" s="12"/>
      <c r="BC92" s="12"/>
      <c r="BE92" s="12"/>
      <c r="BH92" s="12"/>
      <c r="BM92"/>
      <c r="BO92" s="9"/>
      <c r="BR92" s="12"/>
    </row>
    <row r="93" spans="21:70" x14ac:dyDescent="0.3">
      <c r="U93"/>
      <c r="AB93" s="12"/>
      <c r="AI93" s="12"/>
      <c r="AJ93"/>
      <c r="AL93"/>
      <c r="AR93" s="12"/>
      <c r="AU93" s="12"/>
      <c r="AW93" s="12"/>
      <c r="AX93" s="12"/>
      <c r="BC93" s="12"/>
      <c r="BE93" s="12"/>
      <c r="BH93" s="12"/>
      <c r="BM93"/>
      <c r="BO93" s="9"/>
      <c r="BR93" s="12"/>
    </row>
    <row r="94" spans="21:70" x14ac:dyDescent="0.3">
      <c r="U94"/>
      <c r="AB94" s="12"/>
      <c r="AI94" s="12"/>
      <c r="AJ94"/>
      <c r="AL94"/>
      <c r="AR94" s="12"/>
      <c r="AU94" s="12"/>
      <c r="AW94" s="12"/>
      <c r="AX94" s="12"/>
      <c r="BC94" s="12"/>
      <c r="BE94" s="12"/>
      <c r="BH94" s="12"/>
      <c r="BM94"/>
      <c r="BO94" s="9"/>
      <c r="BR94" s="12"/>
    </row>
    <row r="95" spans="21:70" x14ac:dyDescent="0.3">
      <c r="U95"/>
      <c r="AB95" s="12"/>
      <c r="AI95" s="12"/>
      <c r="AJ95"/>
      <c r="AL95"/>
      <c r="AR95" s="12"/>
      <c r="AU95" s="12"/>
      <c r="AW95" s="12"/>
      <c r="AX95" s="12"/>
      <c r="BC95" s="12"/>
      <c r="BE95" s="12"/>
      <c r="BH95" s="12"/>
      <c r="BM95"/>
      <c r="BO95" s="9"/>
      <c r="BR95" s="12"/>
    </row>
    <row r="96" spans="21:70" x14ac:dyDescent="0.3">
      <c r="U96"/>
      <c r="AB96" s="12"/>
      <c r="AI96" s="12"/>
      <c r="AJ96"/>
      <c r="AL96"/>
      <c r="AR96" s="12"/>
      <c r="AU96" s="12"/>
      <c r="AW96" s="12"/>
      <c r="AX96" s="12"/>
      <c r="BC96" s="12"/>
      <c r="BE96" s="12"/>
      <c r="BH96" s="12"/>
      <c r="BM96"/>
      <c r="BO96" s="9"/>
      <c r="BR96" s="12"/>
    </row>
    <row r="97" spans="21:70" x14ac:dyDescent="0.3">
      <c r="U97"/>
      <c r="AB97" s="12"/>
      <c r="AI97" s="12"/>
      <c r="AJ97"/>
      <c r="AL97"/>
      <c r="AR97" s="12"/>
      <c r="AU97" s="12"/>
      <c r="AW97" s="12"/>
      <c r="AX97" s="12"/>
      <c r="BC97" s="12"/>
      <c r="BE97" s="12"/>
      <c r="BH97" s="12"/>
      <c r="BM97"/>
      <c r="BO97" s="9"/>
      <c r="BR97" s="12"/>
    </row>
    <row r="98" spans="21:70" x14ac:dyDescent="0.3">
      <c r="U98"/>
      <c r="AB98" s="12"/>
      <c r="AI98" s="12"/>
      <c r="AJ98"/>
      <c r="AL98"/>
      <c r="AR98" s="12"/>
      <c r="AU98" s="12"/>
      <c r="AW98" s="12"/>
      <c r="AX98" s="12"/>
      <c r="BC98" s="12"/>
      <c r="BE98" s="12"/>
      <c r="BH98" s="12"/>
      <c r="BM98"/>
      <c r="BO98" s="9"/>
      <c r="BR98" s="12"/>
    </row>
    <row r="99" spans="21:70" x14ac:dyDescent="0.3">
      <c r="U99"/>
      <c r="AB99" s="12"/>
      <c r="AI99" s="12"/>
      <c r="AJ99"/>
      <c r="AL99"/>
      <c r="AR99" s="12"/>
      <c r="AU99" s="12"/>
      <c r="AW99" s="12"/>
      <c r="AX99" s="12"/>
      <c r="BC99" s="12"/>
      <c r="BE99" s="12"/>
      <c r="BH99" s="12"/>
      <c r="BM99"/>
      <c r="BO99" s="9"/>
      <c r="BR99" s="12"/>
    </row>
    <row r="100" spans="21:70" x14ac:dyDescent="0.3">
      <c r="U100"/>
      <c r="AB100" s="12"/>
      <c r="AI100" s="12"/>
      <c r="AJ100"/>
      <c r="AL100"/>
      <c r="AR100" s="12"/>
      <c r="AU100" s="12"/>
      <c r="AW100" s="12"/>
      <c r="AX100" s="12"/>
      <c r="BC100" s="12"/>
      <c r="BE100" s="12"/>
      <c r="BH100" s="12"/>
      <c r="BM100"/>
      <c r="BO100" s="9"/>
      <c r="BR100" s="12"/>
    </row>
    <row r="101" spans="21:70" x14ac:dyDescent="0.3">
      <c r="U101"/>
      <c r="AB101" s="12"/>
      <c r="AI101" s="12"/>
      <c r="AJ101"/>
      <c r="AL101"/>
      <c r="AR101" s="12"/>
      <c r="AU101" s="12"/>
      <c r="AW101" s="12"/>
      <c r="AX101" s="12"/>
      <c r="BC101" s="12"/>
      <c r="BE101" s="12"/>
      <c r="BH101" s="12"/>
      <c r="BM101"/>
      <c r="BO101" s="9"/>
      <c r="BR101" s="12"/>
    </row>
    <row r="102" spans="21:70" x14ac:dyDescent="0.3">
      <c r="U102"/>
      <c r="AB102" s="12"/>
      <c r="AI102" s="12"/>
      <c r="AJ102"/>
      <c r="AL102"/>
      <c r="AR102" s="12"/>
      <c r="AU102" s="12"/>
      <c r="AW102" s="12"/>
      <c r="AX102" s="12"/>
      <c r="BC102" s="12"/>
      <c r="BE102" s="12"/>
      <c r="BH102" s="12"/>
      <c r="BM102"/>
      <c r="BO102" s="9"/>
      <c r="BR102" s="12"/>
    </row>
    <row r="103" spans="21:70" x14ac:dyDescent="0.3">
      <c r="U103"/>
      <c r="AB103" s="12"/>
      <c r="AI103" s="12"/>
      <c r="AJ103"/>
      <c r="AL103"/>
      <c r="AR103" s="12"/>
      <c r="AU103" s="12"/>
      <c r="AW103" s="12"/>
      <c r="AX103" s="12"/>
      <c r="BC103" s="12"/>
      <c r="BE103" s="12"/>
      <c r="BH103" s="12"/>
      <c r="BM103"/>
      <c r="BO103" s="9"/>
      <c r="BR103" s="12"/>
    </row>
    <row r="104" spans="21:70" x14ac:dyDescent="0.3">
      <c r="U104"/>
      <c r="AB104" s="12"/>
      <c r="AI104" s="12"/>
      <c r="AJ104"/>
      <c r="AL104"/>
      <c r="AR104" s="12"/>
      <c r="AU104" s="12"/>
      <c r="AW104" s="12"/>
      <c r="AX104" s="12"/>
      <c r="BC104" s="12"/>
      <c r="BE104" s="12"/>
      <c r="BH104" s="12"/>
      <c r="BM104"/>
      <c r="BO104" s="9"/>
      <c r="BR104" s="12"/>
    </row>
    <row r="105" spans="21:70" x14ac:dyDescent="0.3">
      <c r="U105"/>
      <c r="AB105" s="12"/>
      <c r="AI105" s="12"/>
      <c r="AJ105"/>
      <c r="AL105"/>
      <c r="AR105" s="12"/>
      <c r="AU105" s="12"/>
      <c r="AW105" s="12"/>
      <c r="AX105" s="12"/>
      <c r="BC105" s="12"/>
      <c r="BE105" s="12"/>
      <c r="BH105" s="12"/>
      <c r="BM105"/>
      <c r="BO105" s="9"/>
      <c r="BR105" s="12"/>
    </row>
    <row r="106" spans="21:70" x14ac:dyDescent="0.3">
      <c r="U106"/>
      <c r="AB106" s="12"/>
      <c r="AI106" s="12"/>
      <c r="AJ106"/>
      <c r="AL106"/>
      <c r="AR106" s="12"/>
      <c r="AU106" s="12"/>
      <c r="AW106" s="12"/>
      <c r="AX106" s="12"/>
      <c r="BC106" s="12"/>
      <c r="BE106" s="12"/>
      <c r="BH106" s="12"/>
      <c r="BM106"/>
      <c r="BO106" s="9"/>
      <c r="BR106" s="12"/>
    </row>
    <row r="107" spans="21:70" x14ac:dyDescent="0.3">
      <c r="U107"/>
      <c r="AB107" s="12"/>
      <c r="AI107" s="12"/>
      <c r="AJ107"/>
      <c r="AL107"/>
      <c r="AR107" s="12"/>
      <c r="AU107" s="12"/>
      <c r="AW107" s="12"/>
      <c r="AX107" s="12"/>
      <c r="BC107" s="12"/>
      <c r="BE107" s="12"/>
      <c r="BH107" s="12"/>
      <c r="BM107"/>
      <c r="BO107" s="9"/>
      <c r="BR107" s="12"/>
    </row>
    <row r="108" spans="21:70" x14ac:dyDescent="0.3">
      <c r="U108"/>
      <c r="AB108" s="12"/>
      <c r="AI108" s="12"/>
      <c r="AJ108"/>
      <c r="AL108"/>
      <c r="AR108" s="12"/>
      <c r="AU108" s="12"/>
      <c r="AW108" s="12"/>
      <c r="AX108" s="12"/>
      <c r="BC108" s="12"/>
      <c r="BE108" s="12"/>
      <c r="BH108" s="12"/>
      <c r="BM108"/>
      <c r="BO108" s="9"/>
      <c r="BR108" s="12"/>
    </row>
    <row r="109" spans="21:70" x14ac:dyDescent="0.3">
      <c r="U109"/>
      <c r="AB109" s="12"/>
      <c r="AI109" s="12"/>
      <c r="AJ109"/>
      <c r="AL109"/>
      <c r="AR109" s="12"/>
      <c r="AU109" s="12"/>
      <c r="AW109" s="12"/>
      <c r="AX109" s="12"/>
      <c r="BC109" s="12"/>
      <c r="BE109" s="12"/>
      <c r="BH109" s="12"/>
      <c r="BM109"/>
      <c r="BO109" s="9"/>
      <c r="BR109" s="12"/>
    </row>
    <row r="110" spans="21:70" x14ac:dyDescent="0.3">
      <c r="U110"/>
      <c r="AB110" s="12"/>
      <c r="AI110" s="12"/>
      <c r="AJ110"/>
      <c r="AL110"/>
      <c r="AR110" s="12"/>
      <c r="AU110" s="12"/>
      <c r="AW110" s="12"/>
      <c r="AX110" s="12"/>
      <c r="BC110" s="12"/>
      <c r="BE110" s="12"/>
      <c r="BH110" s="12"/>
      <c r="BM110"/>
      <c r="BO110" s="9"/>
      <c r="BR110" s="12"/>
    </row>
    <row r="111" spans="21:70" x14ac:dyDescent="0.3">
      <c r="U111"/>
      <c r="AB111" s="12"/>
      <c r="AI111" s="12"/>
      <c r="AJ111"/>
      <c r="AL111"/>
      <c r="AR111" s="12"/>
      <c r="AU111" s="12"/>
      <c r="AW111" s="12"/>
      <c r="AX111" s="12"/>
      <c r="BC111" s="12"/>
      <c r="BE111" s="12"/>
      <c r="BH111" s="12"/>
      <c r="BM111"/>
      <c r="BO111" s="9"/>
      <c r="BR111" s="12"/>
    </row>
    <row r="112" spans="21:70" x14ac:dyDescent="0.3">
      <c r="U112"/>
      <c r="AB112" s="12"/>
      <c r="AI112" s="12"/>
      <c r="AJ112"/>
      <c r="AL112"/>
      <c r="AR112" s="12"/>
      <c r="AU112" s="12"/>
      <c r="AW112" s="12"/>
      <c r="AX112" s="12"/>
      <c r="BC112" s="12"/>
      <c r="BE112" s="12"/>
      <c r="BH112" s="12"/>
      <c r="BM112"/>
      <c r="BO112" s="9"/>
      <c r="BR112" s="12"/>
    </row>
    <row r="113" spans="21:70" x14ac:dyDescent="0.3">
      <c r="U113"/>
      <c r="AB113" s="12"/>
      <c r="AI113" s="12"/>
      <c r="AJ113"/>
      <c r="AL113"/>
      <c r="AR113" s="12"/>
      <c r="AU113" s="12"/>
      <c r="AW113" s="12"/>
      <c r="AX113" s="12"/>
      <c r="BC113" s="12"/>
      <c r="BE113" s="12"/>
      <c r="BH113" s="12"/>
      <c r="BM113"/>
      <c r="BO113" s="9"/>
      <c r="BR113" s="12"/>
    </row>
    <row r="114" spans="21:70" x14ac:dyDescent="0.3">
      <c r="U114"/>
      <c r="AB114" s="12"/>
      <c r="AI114" s="12"/>
      <c r="AJ114"/>
      <c r="AL114"/>
      <c r="AR114" s="12"/>
      <c r="AU114" s="12"/>
      <c r="AW114" s="12"/>
      <c r="AX114" s="12"/>
      <c r="BC114" s="12"/>
      <c r="BE114" s="12"/>
      <c r="BH114" s="12"/>
      <c r="BM114"/>
      <c r="BO114" s="9"/>
      <c r="BR114" s="12"/>
    </row>
    <row r="115" spans="21:70" x14ac:dyDescent="0.3">
      <c r="U115"/>
      <c r="AB115" s="12"/>
      <c r="AI115" s="12"/>
      <c r="AJ115"/>
      <c r="AL115"/>
      <c r="AR115" s="12"/>
      <c r="AU115" s="12"/>
      <c r="AW115" s="12"/>
      <c r="AX115" s="12"/>
      <c r="BC115" s="12"/>
      <c r="BE115" s="12"/>
      <c r="BH115" s="12"/>
      <c r="BM115"/>
      <c r="BO115" s="9"/>
      <c r="BR115" s="12"/>
    </row>
    <row r="116" spans="21:70" x14ac:dyDescent="0.3">
      <c r="U116"/>
      <c r="AB116" s="12"/>
      <c r="AI116" s="12"/>
      <c r="AJ116"/>
      <c r="AL116"/>
      <c r="AR116" s="12"/>
      <c r="AU116" s="12"/>
      <c r="AW116" s="12"/>
      <c r="AX116" s="12"/>
      <c r="BC116" s="12"/>
      <c r="BE116" s="12"/>
      <c r="BH116" s="12"/>
      <c r="BM116"/>
      <c r="BO116" s="9"/>
      <c r="BR116" s="12"/>
    </row>
    <row r="117" spans="21:70" x14ac:dyDescent="0.3">
      <c r="U117"/>
      <c r="AB117" s="12"/>
      <c r="AI117" s="12"/>
      <c r="AJ117"/>
      <c r="AL117"/>
      <c r="AR117" s="12"/>
      <c r="AU117" s="12"/>
      <c r="AW117" s="12"/>
      <c r="AX117" s="12"/>
      <c r="BC117" s="12"/>
      <c r="BE117" s="12"/>
      <c r="BH117" s="12"/>
      <c r="BM117"/>
      <c r="BO117" s="9"/>
      <c r="BR117" s="12"/>
    </row>
    <row r="118" spans="21:70" x14ac:dyDescent="0.3">
      <c r="U118"/>
      <c r="AB118" s="12"/>
      <c r="AI118" s="12"/>
      <c r="AJ118"/>
      <c r="AL118"/>
      <c r="AR118" s="12"/>
      <c r="AU118" s="12"/>
      <c r="AW118" s="12"/>
      <c r="AX118" s="12"/>
      <c r="BC118" s="12"/>
      <c r="BE118" s="12"/>
      <c r="BH118" s="12"/>
      <c r="BM118"/>
      <c r="BO118" s="9"/>
      <c r="BR118" s="12"/>
    </row>
    <row r="119" spans="21:70" x14ac:dyDescent="0.3">
      <c r="U119"/>
      <c r="AB119" s="12"/>
      <c r="AI119" s="12"/>
      <c r="AJ119"/>
      <c r="AL119"/>
      <c r="AR119" s="12"/>
      <c r="AU119" s="12"/>
      <c r="AW119" s="12"/>
      <c r="AX119" s="12"/>
      <c r="BC119" s="12"/>
      <c r="BE119" s="12"/>
      <c r="BH119" s="12"/>
      <c r="BM119"/>
      <c r="BO119" s="9"/>
      <c r="BR119" s="12"/>
    </row>
    <row r="120" spans="21:70" x14ac:dyDescent="0.3">
      <c r="U120"/>
      <c r="AB120" s="12"/>
      <c r="AI120" s="12"/>
      <c r="AJ120"/>
      <c r="AL120"/>
      <c r="AR120" s="12"/>
      <c r="AU120" s="12"/>
      <c r="AW120" s="12"/>
      <c r="AX120" s="12"/>
      <c r="BC120" s="12"/>
      <c r="BE120" s="12"/>
      <c r="BH120" s="12"/>
      <c r="BM120"/>
      <c r="BO120" s="9"/>
      <c r="BR120" s="12"/>
    </row>
    <row r="121" spans="21:70" x14ac:dyDescent="0.3">
      <c r="U121"/>
      <c r="AB121" s="12"/>
      <c r="AI121" s="12"/>
      <c r="AJ121"/>
      <c r="AL121"/>
      <c r="AR121" s="12"/>
      <c r="AU121" s="12"/>
      <c r="AW121" s="12"/>
      <c r="AX121" s="12"/>
      <c r="BC121" s="12"/>
      <c r="BE121" s="12"/>
      <c r="BH121" s="12"/>
      <c r="BM121"/>
      <c r="BO121" s="9"/>
      <c r="BR121" s="12"/>
    </row>
    <row r="122" spans="21:70" x14ac:dyDescent="0.3">
      <c r="U122"/>
      <c r="AB122" s="12"/>
      <c r="AI122" s="12"/>
      <c r="AJ122"/>
      <c r="AL122"/>
      <c r="AR122" s="12"/>
      <c r="AU122" s="12"/>
      <c r="AW122" s="12"/>
      <c r="AX122" s="12"/>
      <c r="BC122" s="12"/>
      <c r="BE122" s="12"/>
      <c r="BH122" s="12"/>
      <c r="BM122"/>
      <c r="BO122" s="9"/>
      <c r="BR122" s="12"/>
    </row>
    <row r="123" spans="21:70" x14ac:dyDescent="0.3">
      <c r="U123"/>
      <c r="AB123" s="12"/>
      <c r="AI123" s="12"/>
      <c r="AJ123"/>
      <c r="AL123"/>
      <c r="AR123" s="12"/>
      <c r="AU123" s="12"/>
      <c r="AW123" s="12"/>
      <c r="AX123" s="12"/>
      <c r="BC123" s="12"/>
      <c r="BE123" s="12"/>
      <c r="BH123" s="12"/>
      <c r="BM123"/>
      <c r="BO123" s="9"/>
      <c r="BR123" s="12"/>
    </row>
    <row r="124" spans="21:70" x14ac:dyDescent="0.3">
      <c r="U124"/>
      <c r="AB124" s="12"/>
      <c r="AI124" s="12"/>
      <c r="AJ124"/>
      <c r="AL124"/>
      <c r="AR124" s="12"/>
      <c r="AU124" s="12"/>
      <c r="AW124" s="12"/>
      <c r="AX124" s="12"/>
      <c r="BC124" s="12"/>
      <c r="BE124" s="12"/>
      <c r="BH124" s="12"/>
      <c r="BM124"/>
      <c r="BO124" s="9"/>
      <c r="BR124" s="12"/>
    </row>
    <row r="125" spans="21:70" x14ac:dyDescent="0.3">
      <c r="U125"/>
      <c r="AB125" s="12"/>
      <c r="AI125" s="12"/>
      <c r="AJ125"/>
      <c r="AL125"/>
      <c r="AR125" s="12"/>
      <c r="AU125" s="12"/>
      <c r="AW125" s="12"/>
      <c r="AX125" s="12"/>
      <c r="BC125" s="12"/>
      <c r="BE125" s="12"/>
      <c r="BH125" s="12"/>
      <c r="BM125"/>
      <c r="BO125" s="9"/>
      <c r="BR125" s="12"/>
    </row>
    <row r="126" spans="21:70" x14ac:dyDescent="0.3">
      <c r="U126"/>
      <c r="AB126" s="12"/>
      <c r="AI126" s="12"/>
      <c r="AJ126"/>
      <c r="AL126"/>
      <c r="AR126" s="12"/>
      <c r="AU126" s="12"/>
      <c r="AW126" s="12"/>
      <c r="AX126" s="12"/>
      <c r="BC126" s="12"/>
      <c r="BE126" s="12"/>
      <c r="BH126" s="12"/>
      <c r="BM126"/>
      <c r="BO126" s="9"/>
      <c r="BR126" s="12"/>
    </row>
    <row r="127" spans="21:70" x14ac:dyDescent="0.3">
      <c r="U127"/>
      <c r="AB127" s="12"/>
      <c r="AI127" s="12"/>
      <c r="AJ127"/>
      <c r="AL127"/>
      <c r="AR127" s="12"/>
      <c r="AU127" s="12"/>
      <c r="AW127" s="12"/>
      <c r="AX127" s="12"/>
      <c r="BC127" s="12"/>
      <c r="BE127" s="12"/>
      <c r="BH127" s="12"/>
      <c r="BM127"/>
      <c r="BO127" s="9"/>
      <c r="BR127" s="12"/>
    </row>
    <row r="128" spans="21:70" x14ac:dyDescent="0.3">
      <c r="U128"/>
      <c r="AB128" s="12"/>
      <c r="AI128" s="12"/>
      <c r="AJ128"/>
      <c r="AL128"/>
      <c r="AR128" s="12"/>
      <c r="AU128" s="12"/>
      <c r="AW128" s="12"/>
      <c r="AX128" s="12"/>
      <c r="BC128" s="12"/>
      <c r="BE128" s="12"/>
      <c r="BH128" s="12"/>
      <c r="BM128"/>
      <c r="BO128" s="9"/>
      <c r="BR128" s="12"/>
    </row>
    <row r="129" spans="21:70" x14ac:dyDescent="0.3">
      <c r="U129"/>
      <c r="AB129" s="12"/>
      <c r="AI129" s="12"/>
      <c r="AJ129"/>
      <c r="AL129"/>
      <c r="AR129" s="12"/>
      <c r="AU129" s="12"/>
      <c r="AW129" s="12"/>
      <c r="AX129" s="12"/>
      <c r="BC129" s="12"/>
      <c r="BE129" s="12"/>
      <c r="BH129" s="12"/>
      <c r="BM129"/>
      <c r="BO129" s="9"/>
      <c r="BR129" s="12"/>
    </row>
    <row r="130" spans="21:70" x14ac:dyDescent="0.3">
      <c r="U130"/>
      <c r="AB130" s="12"/>
      <c r="AI130" s="12"/>
      <c r="AJ130"/>
      <c r="AL130"/>
      <c r="AR130" s="12"/>
      <c r="AU130" s="12"/>
      <c r="AW130" s="12"/>
      <c r="AX130" s="12"/>
      <c r="BC130" s="12"/>
      <c r="BE130" s="12"/>
      <c r="BH130" s="12"/>
      <c r="BM130"/>
      <c r="BO130" s="9"/>
      <c r="BR130" s="12"/>
    </row>
    <row r="131" spans="21:70" x14ac:dyDescent="0.3">
      <c r="U131"/>
      <c r="AB131" s="12"/>
      <c r="AI131" s="12"/>
      <c r="AJ131"/>
      <c r="AL131"/>
      <c r="AR131" s="12"/>
      <c r="AU131" s="12"/>
      <c r="AW131" s="12"/>
      <c r="AX131" s="12"/>
      <c r="BC131" s="12"/>
      <c r="BE131" s="12"/>
      <c r="BH131" s="12"/>
      <c r="BM131"/>
      <c r="BO131" s="9"/>
      <c r="BR131" s="12"/>
    </row>
    <row r="132" spans="21:70" x14ac:dyDescent="0.3">
      <c r="U132"/>
      <c r="AB132" s="12"/>
      <c r="AI132" s="12"/>
      <c r="AJ132"/>
      <c r="AL132"/>
      <c r="AR132" s="12"/>
      <c r="AU132" s="12"/>
      <c r="AW132" s="12"/>
      <c r="AX132" s="12"/>
      <c r="BC132" s="12"/>
      <c r="BE132" s="12"/>
      <c r="BH132" s="12"/>
      <c r="BM132"/>
      <c r="BO132" s="9"/>
      <c r="BR132" s="12"/>
    </row>
    <row r="133" spans="21:70" x14ac:dyDescent="0.3">
      <c r="U133"/>
      <c r="AB133" s="12"/>
      <c r="AI133" s="12"/>
      <c r="AJ133"/>
      <c r="AL133"/>
      <c r="AR133" s="12"/>
      <c r="AU133" s="12"/>
      <c r="AW133" s="12"/>
      <c r="AX133" s="12"/>
      <c r="BC133" s="12"/>
      <c r="BE133" s="12"/>
      <c r="BH133" s="12"/>
      <c r="BM133"/>
      <c r="BO133" s="9"/>
      <c r="BR133" s="12"/>
    </row>
    <row r="134" spans="21:70" x14ac:dyDescent="0.3">
      <c r="U134"/>
      <c r="AB134" s="12"/>
      <c r="AI134" s="12"/>
      <c r="AJ134"/>
      <c r="AL134"/>
      <c r="AR134" s="12"/>
      <c r="AU134" s="12"/>
      <c r="AW134" s="12"/>
      <c r="AX134" s="12"/>
      <c r="BC134" s="12"/>
      <c r="BE134" s="12"/>
      <c r="BH134" s="12"/>
      <c r="BM134"/>
      <c r="BO134" s="9"/>
      <c r="BR134" s="12"/>
    </row>
    <row r="135" spans="21:70" x14ac:dyDescent="0.3">
      <c r="U135"/>
      <c r="AB135" s="12"/>
      <c r="AI135" s="12"/>
      <c r="AJ135"/>
      <c r="AL135"/>
      <c r="AR135" s="12"/>
      <c r="AU135" s="12"/>
      <c r="AW135" s="12"/>
      <c r="AX135" s="12"/>
      <c r="BC135" s="12"/>
      <c r="BE135" s="12"/>
      <c r="BH135" s="12"/>
      <c r="BM135"/>
      <c r="BO135" s="9"/>
      <c r="BR135" s="12"/>
    </row>
    <row r="136" spans="21:70" x14ac:dyDescent="0.3">
      <c r="U136"/>
      <c r="AB136" s="12"/>
      <c r="AI136" s="12"/>
      <c r="AJ136"/>
      <c r="AL136"/>
      <c r="AR136" s="12"/>
      <c r="AU136" s="12"/>
      <c r="AW136" s="12"/>
      <c r="AX136" s="12"/>
      <c r="BC136" s="12"/>
      <c r="BE136" s="12"/>
      <c r="BH136" s="12"/>
      <c r="BM136"/>
      <c r="BO136" s="9"/>
      <c r="BR136" s="12"/>
    </row>
    <row r="137" spans="21:70" x14ac:dyDescent="0.3">
      <c r="U137"/>
      <c r="AB137" s="12"/>
      <c r="AI137" s="12"/>
      <c r="AJ137"/>
      <c r="AL137"/>
      <c r="AR137" s="12"/>
      <c r="AU137" s="12"/>
      <c r="AW137" s="12"/>
      <c r="AX137" s="12"/>
      <c r="BC137" s="12"/>
      <c r="BE137" s="12"/>
      <c r="BH137" s="12"/>
      <c r="BM137"/>
      <c r="BO137" s="9"/>
      <c r="BR137" s="12"/>
    </row>
    <row r="138" spans="21:70" x14ac:dyDescent="0.3">
      <c r="U138"/>
      <c r="AB138" s="12"/>
      <c r="AI138" s="12"/>
      <c r="AJ138"/>
      <c r="AL138"/>
      <c r="AR138" s="12"/>
      <c r="AU138" s="12"/>
      <c r="AW138" s="12"/>
      <c r="AX138" s="12"/>
      <c r="BC138" s="12"/>
      <c r="BE138" s="12"/>
      <c r="BH138" s="12"/>
      <c r="BM138"/>
      <c r="BO138" s="9"/>
      <c r="BR138" s="12"/>
    </row>
    <row r="139" spans="21:70" x14ac:dyDescent="0.3">
      <c r="U139"/>
      <c r="AB139" s="12"/>
      <c r="AI139" s="12"/>
      <c r="AJ139"/>
      <c r="AL139"/>
      <c r="AR139" s="12"/>
      <c r="AU139" s="12"/>
      <c r="AW139" s="12"/>
      <c r="AX139" s="12"/>
      <c r="BC139" s="12"/>
      <c r="BE139" s="12"/>
      <c r="BH139" s="12"/>
      <c r="BM139"/>
      <c r="BO139" s="9"/>
      <c r="BR139" s="12"/>
    </row>
    <row r="140" spans="21:70" x14ac:dyDescent="0.3">
      <c r="U140"/>
      <c r="AB140" s="12"/>
      <c r="AI140" s="12"/>
      <c r="AJ140"/>
      <c r="AL140"/>
      <c r="AR140" s="12"/>
      <c r="AU140" s="12"/>
      <c r="AW140" s="12"/>
      <c r="AX140" s="12"/>
      <c r="BC140" s="12"/>
      <c r="BE140" s="12"/>
      <c r="BH140" s="12"/>
      <c r="BM140"/>
      <c r="BO140" s="9"/>
      <c r="BR140" s="12"/>
    </row>
    <row r="141" spans="21:70" x14ac:dyDescent="0.3">
      <c r="U141"/>
      <c r="AB141" s="12"/>
      <c r="AI141" s="12"/>
      <c r="AJ141"/>
      <c r="AL141"/>
      <c r="AR141" s="12"/>
      <c r="AU141" s="12"/>
      <c r="AW141" s="12"/>
      <c r="AX141" s="12"/>
      <c r="BC141" s="12"/>
      <c r="BE141" s="12"/>
      <c r="BH141" s="12"/>
      <c r="BM141"/>
      <c r="BO141" s="9"/>
      <c r="BR141" s="12"/>
    </row>
    <row r="142" spans="21:70" x14ac:dyDescent="0.3">
      <c r="U142"/>
      <c r="AB142" s="12"/>
      <c r="AI142" s="12"/>
      <c r="AJ142"/>
      <c r="AL142"/>
      <c r="AR142" s="12"/>
      <c r="AU142" s="12"/>
      <c r="AW142" s="12"/>
      <c r="AX142" s="12"/>
      <c r="BC142" s="12"/>
      <c r="BE142" s="12"/>
      <c r="BH142" s="12"/>
      <c r="BM142"/>
      <c r="BO142" s="9"/>
      <c r="BR142" s="12"/>
    </row>
    <row r="143" spans="21:70" x14ac:dyDescent="0.3">
      <c r="U143"/>
      <c r="AB143" s="12"/>
      <c r="AI143" s="12"/>
      <c r="AJ143"/>
      <c r="AL143"/>
      <c r="AR143" s="12"/>
      <c r="AU143" s="12"/>
      <c r="AW143" s="12"/>
      <c r="AX143" s="12"/>
      <c r="BC143" s="12"/>
      <c r="BE143" s="12"/>
      <c r="BH143" s="12"/>
      <c r="BM143"/>
      <c r="BO143" s="9"/>
      <c r="BR143" s="12"/>
    </row>
    <row r="144" spans="21:70" x14ac:dyDescent="0.3">
      <c r="U144"/>
      <c r="AB144" s="12"/>
      <c r="AI144" s="12"/>
      <c r="AJ144"/>
      <c r="AL144"/>
      <c r="AR144" s="12"/>
      <c r="AU144" s="12"/>
      <c r="AW144" s="12"/>
      <c r="AX144" s="12"/>
      <c r="BC144" s="12"/>
      <c r="BE144" s="12"/>
      <c r="BH144" s="12"/>
      <c r="BM144"/>
      <c r="BO144" s="9"/>
      <c r="BR144" s="12"/>
    </row>
    <row r="145" spans="21:70" x14ac:dyDescent="0.3">
      <c r="U145"/>
      <c r="AB145" s="12"/>
      <c r="AI145" s="12"/>
      <c r="AJ145"/>
      <c r="AL145"/>
      <c r="AR145" s="12"/>
      <c r="AU145" s="12"/>
      <c r="AW145" s="12"/>
      <c r="AX145" s="12"/>
      <c r="BC145" s="12"/>
      <c r="BE145" s="12"/>
      <c r="BH145" s="12"/>
      <c r="BM145"/>
      <c r="BO145" s="9"/>
      <c r="BR145" s="12"/>
    </row>
    <row r="146" spans="21:70" x14ac:dyDescent="0.3">
      <c r="U146"/>
      <c r="AB146" s="12"/>
      <c r="AI146" s="12"/>
      <c r="AJ146"/>
      <c r="AL146"/>
      <c r="AR146" s="12"/>
      <c r="AU146" s="12"/>
      <c r="AW146" s="12"/>
      <c r="AX146" s="12"/>
      <c r="BC146" s="12"/>
      <c r="BE146" s="12"/>
      <c r="BH146" s="12"/>
      <c r="BM146"/>
      <c r="BO146" s="9"/>
      <c r="BR146" s="12"/>
    </row>
    <row r="147" spans="21:70" x14ac:dyDescent="0.3">
      <c r="U147"/>
      <c r="AB147" s="12"/>
      <c r="AI147" s="12"/>
      <c r="AJ147"/>
      <c r="AL147"/>
      <c r="AR147" s="12"/>
      <c r="AU147" s="12"/>
      <c r="AW147" s="12"/>
      <c r="AX147" s="12"/>
      <c r="BC147" s="12"/>
      <c r="BE147" s="12"/>
      <c r="BH147" s="12"/>
      <c r="BM147"/>
      <c r="BO147" s="9"/>
      <c r="BR147" s="12"/>
    </row>
    <row r="148" spans="21:70" x14ac:dyDescent="0.3">
      <c r="U148"/>
      <c r="AB148" s="12"/>
      <c r="AI148" s="12"/>
      <c r="AJ148"/>
      <c r="AL148"/>
      <c r="AR148" s="12"/>
      <c r="AU148" s="12"/>
      <c r="AW148" s="12"/>
      <c r="AX148" s="12"/>
      <c r="BC148" s="12"/>
      <c r="BE148" s="12"/>
      <c r="BH148" s="12"/>
      <c r="BM148"/>
      <c r="BO148" s="9"/>
      <c r="BR148" s="12"/>
    </row>
    <row r="149" spans="21:70" x14ac:dyDescent="0.3">
      <c r="U149"/>
      <c r="AB149" s="12"/>
      <c r="AI149" s="12"/>
      <c r="AJ149"/>
      <c r="AL149"/>
      <c r="AR149" s="12"/>
      <c r="AU149" s="12"/>
      <c r="AW149" s="12"/>
      <c r="AX149" s="12"/>
      <c r="BC149" s="12"/>
      <c r="BE149" s="12"/>
      <c r="BH149" s="12"/>
      <c r="BM149"/>
      <c r="BO149" s="9"/>
      <c r="BR149" s="12"/>
    </row>
    <row r="150" spans="21:70" x14ac:dyDescent="0.3">
      <c r="U150"/>
      <c r="AB150" s="12"/>
      <c r="AI150" s="12"/>
      <c r="AJ150"/>
      <c r="AL150"/>
      <c r="AR150" s="12"/>
      <c r="AU150" s="12"/>
      <c r="AW150" s="12"/>
      <c r="AX150" s="12"/>
      <c r="BC150" s="12"/>
      <c r="BE150" s="12"/>
      <c r="BH150" s="12"/>
      <c r="BM150"/>
      <c r="BO150" s="9"/>
      <c r="BR150" s="12"/>
    </row>
    <row r="151" spans="21:70" x14ac:dyDescent="0.3">
      <c r="U151"/>
      <c r="AB151" s="12"/>
      <c r="AI151" s="12"/>
      <c r="AJ151"/>
      <c r="AL151"/>
      <c r="AR151" s="12"/>
      <c r="AU151" s="12"/>
      <c r="AW151" s="12"/>
      <c r="AX151" s="12"/>
      <c r="BC151" s="12"/>
      <c r="BE151" s="12"/>
      <c r="BH151" s="12"/>
      <c r="BM151"/>
      <c r="BO151" s="9"/>
      <c r="BR151" s="12"/>
    </row>
    <row r="152" spans="21:70" x14ac:dyDescent="0.3">
      <c r="U152"/>
      <c r="AB152" s="12"/>
      <c r="AI152" s="12"/>
      <c r="AJ152"/>
      <c r="AL152"/>
      <c r="AR152" s="12"/>
      <c r="AU152" s="12"/>
      <c r="AW152" s="12"/>
      <c r="AX152" s="12"/>
      <c r="BC152" s="12"/>
      <c r="BE152" s="12"/>
      <c r="BH152" s="12"/>
      <c r="BM152"/>
      <c r="BO152" s="9"/>
      <c r="BR152" s="12"/>
    </row>
    <row r="153" spans="21:70" x14ac:dyDescent="0.3">
      <c r="U153"/>
      <c r="AB153" s="12"/>
      <c r="AI153" s="12"/>
      <c r="AJ153"/>
      <c r="AL153"/>
      <c r="AR153" s="12"/>
      <c r="AU153" s="12"/>
      <c r="AW153" s="12"/>
      <c r="AX153" s="12"/>
      <c r="BC153" s="12"/>
      <c r="BE153" s="12"/>
      <c r="BH153" s="12"/>
      <c r="BM153"/>
      <c r="BO153" s="9"/>
      <c r="BR153" s="12"/>
    </row>
    <row r="154" spans="21:70" x14ac:dyDescent="0.3">
      <c r="U154"/>
      <c r="AB154" s="12"/>
      <c r="AI154" s="12"/>
      <c r="AJ154"/>
      <c r="AL154"/>
      <c r="AR154" s="12"/>
      <c r="AU154" s="12"/>
      <c r="AW154" s="12"/>
      <c r="AX154" s="12"/>
      <c r="BC154" s="12"/>
      <c r="BE154" s="12"/>
      <c r="BH154" s="12"/>
      <c r="BM154"/>
      <c r="BO154" s="9"/>
      <c r="BR154" s="12"/>
    </row>
    <row r="155" spans="21:70" x14ac:dyDescent="0.3">
      <c r="U155"/>
      <c r="AB155" s="12"/>
      <c r="AI155" s="12"/>
      <c r="AJ155"/>
      <c r="AL155"/>
      <c r="AR155" s="12"/>
      <c r="AU155" s="12"/>
      <c r="AW155" s="12"/>
      <c r="AX155" s="12"/>
      <c r="BC155" s="12"/>
      <c r="BE155" s="12"/>
      <c r="BH155" s="12"/>
      <c r="BM155"/>
      <c r="BO155" s="9"/>
      <c r="BR155" s="12"/>
    </row>
    <row r="156" spans="21:70" x14ac:dyDescent="0.3">
      <c r="U156"/>
      <c r="AB156" s="12"/>
      <c r="AI156" s="12"/>
      <c r="AJ156"/>
      <c r="AL156"/>
      <c r="AR156" s="12"/>
      <c r="AU156" s="12"/>
      <c r="AW156" s="12"/>
      <c r="AX156" s="12"/>
      <c r="BC156" s="12"/>
      <c r="BE156" s="12"/>
      <c r="BH156" s="12"/>
      <c r="BM156"/>
      <c r="BO156" s="9"/>
      <c r="BR156" s="12"/>
    </row>
    <row r="157" spans="21:70" x14ac:dyDescent="0.3">
      <c r="U157"/>
      <c r="AB157" s="12"/>
      <c r="AI157" s="12"/>
      <c r="AJ157"/>
      <c r="AL157"/>
      <c r="AR157" s="12"/>
      <c r="AU157" s="12"/>
      <c r="AW157" s="12"/>
      <c r="AX157" s="12"/>
      <c r="BC157" s="12"/>
      <c r="BE157" s="12"/>
      <c r="BH157" s="12"/>
      <c r="BM157"/>
      <c r="BO157" s="9"/>
      <c r="BR157" s="12"/>
    </row>
    <row r="158" spans="21:70" x14ac:dyDescent="0.3">
      <c r="U158"/>
      <c r="AB158" s="12"/>
      <c r="AI158" s="12"/>
      <c r="AJ158"/>
      <c r="AL158"/>
      <c r="AR158" s="12"/>
      <c r="AU158" s="12"/>
      <c r="AW158" s="12"/>
      <c r="AX158" s="12"/>
      <c r="BC158" s="12"/>
      <c r="BE158" s="12"/>
      <c r="BH158" s="12"/>
      <c r="BM158"/>
      <c r="BO158" s="9"/>
      <c r="BR158" s="12"/>
    </row>
    <row r="159" spans="21:70" x14ac:dyDescent="0.3">
      <c r="U159"/>
      <c r="AB159" s="12"/>
      <c r="AI159" s="12"/>
      <c r="AJ159"/>
      <c r="AL159"/>
      <c r="AR159" s="12"/>
      <c r="AU159" s="12"/>
      <c r="AW159" s="12"/>
      <c r="AX159" s="12"/>
      <c r="BC159" s="12"/>
      <c r="BE159" s="12"/>
      <c r="BH159" s="12"/>
      <c r="BM159"/>
      <c r="BO159" s="9"/>
      <c r="BR159" s="12"/>
    </row>
  </sheetData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" sqref="G2"/>
    </sheetView>
  </sheetViews>
  <sheetFormatPr defaultColWidth="8.88671875" defaultRowHeight="14.4" x14ac:dyDescent="0.3"/>
  <cols>
    <col min="1" max="1" width="18.5546875" style="1" bestFit="1" customWidth="1"/>
    <col min="2" max="2" width="3.5546875" customWidth="1"/>
    <col min="3" max="3" width="7.33203125" bestFit="1" customWidth="1"/>
    <col min="4" max="4" width="6.44140625" style="11" bestFit="1" customWidth="1"/>
    <col min="5" max="5" width="8" bestFit="1" customWidth="1"/>
    <col min="6" max="6" width="5.5546875" bestFit="1" customWidth="1"/>
    <col min="7" max="7" width="5.6640625" style="4" bestFit="1" customWidth="1"/>
    <col min="8" max="8" width="8.33203125" bestFit="1" customWidth="1"/>
    <col min="9" max="9" width="7.6640625" bestFit="1" customWidth="1"/>
    <col min="10" max="10" width="13.5546875" bestFit="1" customWidth="1"/>
    <col min="11" max="11" width="11.109375" bestFit="1" customWidth="1"/>
    <col min="12" max="12" width="10" bestFit="1" customWidth="1"/>
    <col min="13" max="13" width="8.6640625" bestFit="1" customWidth="1"/>
    <col min="14" max="14" width="6.6640625" bestFit="1" customWidth="1"/>
    <col min="15" max="15" width="6.5546875" bestFit="1" customWidth="1"/>
    <col min="16" max="16" width="11.5546875" bestFit="1" customWidth="1"/>
    <col min="17" max="17" width="9.44140625" bestFit="1" customWidth="1"/>
    <col min="18" max="18" width="7.88671875" bestFit="1" customWidth="1"/>
    <col min="19" max="19" width="8.88671875" bestFit="1" customWidth="1"/>
    <col min="20" max="20" width="10.5546875" style="4" bestFit="1" customWidth="1"/>
    <col min="21" max="21" width="3" customWidth="1"/>
    <col min="22" max="22" width="6.88671875" bestFit="1" customWidth="1"/>
    <col min="23" max="23" width="6.6640625" bestFit="1" customWidth="1"/>
    <col min="24" max="24" width="6.88671875" bestFit="1" customWidth="1"/>
    <col min="25" max="25" width="11.6640625" bestFit="1" customWidth="1"/>
    <col min="26" max="26" width="12.44140625" bestFit="1" customWidth="1"/>
    <col min="27" max="27" width="9" style="4" bestFit="1" customWidth="1"/>
    <col min="28" max="28" width="9.33203125" bestFit="1" customWidth="1"/>
    <col min="29" max="29" width="3.88671875" bestFit="1" customWidth="1"/>
    <col min="30" max="30" width="4" customWidth="1"/>
    <col min="31" max="31" width="5.88671875" bestFit="1" customWidth="1"/>
    <col min="32" max="32" width="6" customWidth="1"/>
    <col min="33" max="33" width="8.5546875" style="4" bestFit="1" customWidth="1"/>
    <col min="34" max="1024" width="10.5546875" customWidth="1"/>
  </cols>
  <sheetData>
    <row r="1" spans="1:33" s="31" customFormat="1" ht="15" thickBot="1" x14ac:dyDescent="0.35">
      <c r="A1" s="130" t="s">
        <v>91</v>
      </c>
      <c r="B1" s="131" t="s">
        <v>92</v>
      </c>
      <c r="C1" s="131" t="s">
        <v>93</v>
      </c>
      <c r="D1" s="132" t="s">
        <v>231</v>
      </c>
      <c r="E1" s="131" t="s">
        <v>94</v>
      </c>
      <c r="F1" s="131" t="s">
        <v>95</v>
      </c>
      <c r="G1" s="133" t="s">
        <v>96</v>
      </c>
      <c r="H1" s="134" t="s">
        <v>97</v>
      </c>
      <c r="I1" s="134" t="s">
        <v>98</v>
      </c>
      <c r="J1" s="134" t="s">
        <v>99</v>
      </c>
      <c r="K1" s="134" t="s">
        <v>100</v>
      </c>
      <c r="L1" s="134" t="s">
        <v>101</v>
      </c>
      <c r="M1" s="134" t="s">
        <v>102</v>
      </c>
      <c r="N1" s="134" t="s">
        <v>103</v>
      </c>
      <c r="O1" s="134" t="s">
        <v>104</v>
      </c>
      <c r="P1" s="134" t="s">
        <v>105</v>
      </c>
      <c r="Q1" s="134" t="s">
        <v>106</v>
      </c>
      <c r="R1" s="134" t="s">
        <v>107</v>
      </c>
      <c r="S1" s="134" t="s">
        <v>108</v>
      </c>
      <c r="T1" s="135" t="s">
        <v>109</v>
      </c>
      <c r="U1" s="136" t="s">
        <v>110</v>
      </c>
      <c r="V1" s="136" t="s">
        <v>111</v>
      </c>
      <c r="W1" s="136" t="s">
        <v>112</v>
      </c>
      <c r="X1" s="136" t="s">
        <v>113</v>
      </c>
      <c r="Y1" s="136" t="s">
        <v>114</v>
      </c>
      <c r="Z1" s="136" t="s">
        <v>115</v>
      </c>
      <c r="AA1" s="137" t="s">
        <v>116</v>
      </c>
      <c r="AB1" s="138" t="s">
        <v>117</v>
      </c>
      <c r="AC1" s="138" t="s">
        <v>118</v>
      </c>
      <c r="AD1" s="138" t="s">
        <v>119</v>
      </c>
      <c r="AE1" s="138" t="s">
        <v>120</v>
      </c>
      <c r="AF1" s="138" t="s">
        <v>121</v>
      </c>
      <c r="AG1" s="139" t="s">
        <v>122</v>
      </c>
    </row>
    <row r="2" spans="1:33" s="31" customFormat="1" x14ac:dyDescent="0.3">
      <c r="A2" s="31" t="s">
        <v>299</v>
      </c>
      <c r="B2" s="140">
        <v>2.5</v>
      </c>
      <c r="C2" s="31">
        <v>0</v>
      </c>
      <c r="D2" s="26">
        <v>0.02</v>
      </c>
      <c r="E2" s="141">
        <v>49</v>
      </c>
      <c r="F2" s="31">
        <v>1000</v>
      </c>
      <c r="G2" s="43">
        <v>12.611564365741524</v>
      </c>
      <c r="H2" s="31">
        <v>1</v>
      </c>
      <c r="I2" s="31">
        <v>1.26</v>
      </c>
      <c r="J2" s="31">
        <v>1</v>
      </c>
      <c r="K2" s="31">
        <v>1</v>
      </c>
      <c r="L2" s="31">
        <v>0</v>
      </c>
      <c r="M2" s="31">
        <v>0</v>
      </c>
      <c r="N2" s="31">
        <v>-0.5</v>
      </c>
      <c r="O2" s="31">
        <v>-0.55000000000000004</v>
      </c>
      <c r="P2" s="31">
        <v>500</v>
      </c>
      <c r="Q2" s="31">
        <v>1.3</v>
      </c>
      <c r="R2" s="31">
        <v>0.8</v>
      </c>
      <c r="S2" s="31">
        <v>1</v>
      </c>
      <c r="T2" s="43">
        <v>-1.4</v>
      </c>
      <c r="U2" s="31">
        <v>50</v>
      </c>
      <c r="V2" s="31">
        <v>0.23</v>
      </c>
      <c r="W2" s="31">
        <v>0.18</v>
      </c>
      <c r="X2" s="31">
        <v>0.62</v>
      </c>
      <c r="Y2" s="31">
        <v>1</v>
      </c>
      <c r="Z2" s="31">
        <v>1</v>
      </c>
      <c r="AA2" s="43">
        <v>2</v>
      </c>
      <c r="AB2" s="31">
        <v>0.7</v>
      </c>
      <c r="AC2" s="31">
        <v>6</v>
      </c>
      <c r="AD2" s="31">
        <v>0.5</v>
      </c>
      <c r="AE2" s="31">
        <v>0.16</v>
      </c>
      <c r="AF2" s="31">
        <v>4.0000000000000001E-3</v>
      </c>
      <c r="AG2" s="43">
        <v>0.59</v>
      </c>
    </row>
    <row r="3" spans="1:33" x14ac:dyDescent="0.3">
      <c r="A3"/>
      <c r="B3" s="20"/>
    </row>
    <row r="4" spans="1:33" x14ac:dyDescent="0.3">
      <c r="A4"/>
      <c r="B4" s="20"/>
    </row>
    <row r="5" spans="1:33" x14ac:dyDescent="0.3">
      <c r="A5"/>
      <c r="B5" s="20"/>
      <c r="D5" s="21"/>
    </row>
    <row r="6" spans="1:33" x14ac:dyDescent="0.3">
      <c r="A6"/>
      <c r="B6" s="20"/>
    </row>
  </sheetData>
  <sortState ref="A2:AG205">
    <sortCondition ref="A2:A205"/>
  </sortState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1126-37C8-4E1A-A90D-186D3B10C9C3}">
  <dimension ref="A1"/>
  <sheetViews>
    <sheetView zoomScale="85" zoomScaleNormal="85" workbookViewId="0">
      <pane ySplit="1" topLeftCell="A2" activePane="bottomLeft" state="frozen"/>
      <selection pane="bottomLeft" activeCell="F9" sqref="F9"/>
    </sheetView>
  </sheetViews>
  <sheetFormatPr defaultColWidth="11.5546875" defaultRowHeight="14.4" x14ac:dyDescent="0.3"/>
  <sheetData/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USMs</vt:lpstr>
      <vt:lpstr>Ini</vt:lpstr>
      <vt:lpstr>Soils</vt:lpstr>
      <vt:lpstr>Tec</vt:lpstr>
      <vt:lpstr>Station</vt:lpstr>
      <vt:lpstr>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inra</dc:creator>
  <dc:description/>
  <cp:lastModifiedBy>Oriane BRAUD</cp:lastModifiedBy>
  <cp:revision>11</cp:revision>
  <dcterms:created xsi:type="dcterms:W3CDTF">2019-01-28T10:09:50Z</dcterms:created>
  <dcterms:modified xsi:type="dcterms:W3CDTF">2024-03-21T14:19:20Z</dcterms:modified>
  <dc:language>fr-FR</dc:language>
</cp:coreProperties>
</file>