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radfr-my.sharepoint.com/personal/mathilde_de_freitas_cirad_fr/Documents/Thèse/TD STICS/13_03_24 STICS training/"/>
    </mc:Choice>
  </mc:AlternateContent>
  <xr:revisionPtr revIDLastSave="42" documentId="8_{1EF9DA1C-F5E9-46E7-BC56-FBCEE70AA69F}" xr6:coauthVersionLast="47" xr6:coauthVersionMax="47" xr10:uidLastSave="{E76B7480-ABDA-496F-88BE-4DE7EF195B8B}"/>
  <bookViews>
    <workbookView xWindow="-120" yWindow="-120" windowWidth="29040" windowHeight="15720" xr2:uid="{87544DE7-1956-4F71-955B-5EDDC23AD2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6" i="1"/>
  <c r="D13" i="1"/>
  <c r="D9" i="1"/>
  <c r="D10" i="1"/>
  <c r="D11" i="1"/>
  <c r="D12" i="1"/>
  <c r="D7" i="1"/>
  <c r="D8" i="1"/>
  <c r="D6" i="1"/>
</calcChain>
</file>

<file path=xl/sharedStrings.xml><?xml version="1.0" encoding="utf-8"?>
<sst xmlns="http://schemas.openxmlformats.org/spreadsheetml/2006/main" count="17" uniqueCount="17">
  <si>
    <t>Sorghum</t>
  </si>
  <si>
    <t>Grain yield</t>
  </si>
  <si>
    <t>Cowpea</t>
  </si>
  <si>
    <t xml:space="preserve">Intercropping </t>
  </si>
  <si>
    <t>simple formalisms</t>
  </si>
  <si>
    <t xml:space="preserve">Sole cropping </t>
  </si>
  <si>
    <t>complex formalisms</t>
  </si>
  <si>
    <t>Total</t>
  </si>
  <si>
    <t>Initial crop management</t>
  </si>
  <si>
    <t>Fertilisation = 0</t>
  </si>
  <si>
    <t>Fertilisation = 120</t>
  </si>
  <si>
    <t>Later planting date cowpea</t>
  </si>
  <si>
    <t>Later planting date sorghum</t>
  </si>
  <si>
    <t>Larger row spacing cowpea</t>
  </si>
  <si>
    <t>Larger row spacing sorghum</t>
  </si>
  <si>
    <t xml:space="preserve">LER </t>
  </si>
  <si>
    <t>Substitutive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</si>
</sst>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3" borderId="2" xfId="0" applyFill="1" applyBorder="1"/>
    <xf numFmtId="0" fontId="0" fillId="3" borderId="0" xfId="0" applyFill="1"/>
    <xf numFmtId="0" fontId="0" fillId="4" borderId="2" xfId="0" applyFill="1" applyBorder="1"/>
    <xf numFmtId="0" fontId="0" fillId="4" borderId="0" xfId="0" applyFill="1"/>
    <xf numFmtId="0" fontId="0" fillId="4" borderId="0" xfId="0" applyFill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E750-AF2E-43C1-9301-A4823EB47DB5}">
  <dimension ref="A1:E13"/>
  <sheetViews>
    <sheetView tabSelected="1" zoomScale="160" zoomScaleNormal="160" workbookViewId="0">
      <selection activeCell="G11" sqref="G11"/>
    </sheetView>
  </sheetViews>
  <sheetFormatPr baseColWidth="10" defaultRowHeight="15" x14ac:dyDescent="0.25"/>
  <cols>
    <col min="1" max="1" width="26" bestFit="1" customWidth="1"/>
    <col min="2" max="2" width="8.85546875" bestFit="1" customWidth="1"/>
    <col min="3" max="3" width="8.140625" bestFit="1" customWidth="1"/>
    <col min="4" max="4" width="5.42578125" bestFit="1" customWidth="1"/>
    <col min="5" max="5" width="12.7109375" bestFit="1" customWidth="1"/>
  </cols>
  <sheetData>
    <row r="1" spans="1:5" s="1" customFormat="1" ht="30" customHeight="1" x14ac:dyDescent="0.25">
      <c r="A1" s="2" t="s">
        <v>1</v>
      </c>
      <c r="B1" s="2" t="s">
        <v>0</v>
      </c>
      <c r="C1" s="2" t="s">
        <v>2</v>
      </c>
      <c r="D1" s="2" t="s">
        <v>7</v>
      </c>
      <c r="E1" s="2" t="s">
        <v>15</v>
      </c>
    </row>
    <row r="2" spans="1:5" x14ac:dyDescent="0.25">
      <c r="A2" s="11" t="s">
        <v>5</v>
      </c>
      <c r="B2" s="11"/>
      <c r="C2" s="11"/>
      <c r="D2" s="11"/>
      <c r="E2" s="11"/>
    </row>
    <row r="3" spans="1:5" x14ac:dyDescent="0.25">
      <c r="A3" s="3" t="s">
        <v>4</v>
      </c>
      <c r="B3" s="6">
        <v>3.52</v>
      </c>
      <c r="C3" s="6">
        <v>1.98</v>
      </c>
      <c r="D3" s="8"/>
      <c r="E3" s="8"/>
    </row>
    <row r="4" spans="1:5" x14ac:dyDescent="0.25">
      <c r="A4" t="s">
        <v>6</v>
      </c>
      <c r="B4" s="7">
        <v>3.66</v>
      </c>
      <c r="C4" s="7">
        <v>1.47</v>
      </c>
      <c r="D4" s="9"/>
      <c r="E4" s="9"/>
    </row>
    <row r="5" spans="1:5" x14ac:dyDescent="0.25">
      <c r="A5" s="11" t="s">
        <v>3</v>
      </c>
      <c r="B5" s="11"/>
      <c r="C5" s="11"/>
      <c r="D5" s="11"/>
      <c r="E5" s="11"/>
    </row>
    <row r="6" spans="1:5" x14ac:dyDescent="0.25">
      <c r="A6" s="3" t="s">
        <v>8</v>
      </c>
      <c r="B6" s="6">
        <v>1.7</v>
      </c>
      <c r="C6" s="6">
        <v>0.65</v>
      </c>
      <c r="D6" s="3">
        <f xml:space="preserve"> SUM(B6:C6)</f>
        <v>2.35</v>
      </c>
      <c r="E6" s="3">
        <f>B6/$B$4+C6/$C$4</f>
        <v>0.90665774506523922</v>
      </c>
    </row>
    <row r="7" spans="1:5" x14ac:dyDescent="0.25">
      <c r="A7" t="s">
        <v>9</v>
      </c>
      <c r="B7" s="7">
        <v>0.89</v>
      </c>
      <c r="C7" s="7">
        <v>0.69</v>
      </c>
      <c r="D7" s="4">
        <f t="shared" ref="D7:D13" si="0" xml:space="preserve"> SUM(B7:C7)</f>
        <v>1.58</v>
      </c>
      <c r="E7" s="10"/>
    </row>
    <row r="8" spans="1:5" x14ac:dyDescent="0.25">
      <c r="A8" t="s">
        <v>10</v>
      </c>
      <c r="B8" s="7">
        <v>4.42</v>
      </c>
      <c r="C8" s="7">
        <v>0.51</v>
      </c>
      <c r="D8" s="4">
        <f t="shared" si="0"/>
        <v>4.93</v>
      </c>
      <c r="E8" s="10"/>
    </row>
    <row r="9" spans="1:5" x14ac:dyDescent="0.25">
      <c r="A9" t="s">
        <v>11</v>
      </c>
      <c r="B9" s="7">
        <v>2.44</v>
      </c>
      <c r="C9" s="7">
        <v>0.46</v>
      </c>
      <c r="D9" s="4">
        <f t="shared" si="0"/>
        <v>2.9</v>
      </c>
      <c r="E9" s="4">
        <f t="shared" ref="E9:E13" si="1">B9/$B$4+C9/$C$4</f>
        <v>0.97959183673469385</v>
      </c>
    </row>
    <row r="10" spans="1:5" x14ac:dyDescent="0.25">
      <c r="A10" t="s">
        <v>12</v>
      </c>
      <c r="B10" s="7">
        <v>1.08</v>
      </c>
      <c r="C10" s="7">
        <v>0.83</v>
      </c>
      <c r="D10" s="4">
        <f t="shared" si="0"/>
        <v>1.9100000000000001</v>
      </c>
      <c r="E10" s="4">
        <f t="shared" si="1"/>
        <v>0.85970781755325076</v>
      </c>
    </row>
    <row r="11" spans="1:5" x14ac:dyDescent="0.25">
      <c r="A11" t="s">
        <v>13</v>
      </c>
      <c r="B11" s="7">
        <v>2.04</v>
      </c>
      <c r="C11" s="7">
        <v>0.42</v>
      </c>
      <c r="D11" s="4">
        <f t="shared" si="0"/>
        <v>2.46</v>
      </c>
      <c r="E11" s="4">
        <f t="shared" si="1"/>
        <v>0.84309133489461352</v>
      </c>
    </row>
    <row r="12" spans="1:5" x14ac:dyDescent="0.25">
      <c r="A12" t="s">
        <v>14</v>
      </c>
      <c r="B12" s="7">
        <v>1.4</v>
      </c>
      <c r="C12" s="7">
        <v>0.88</v>
      </c>
      <c r="D12" s="4">
        <f t="shared" si="0"/>
        <v>2.2799999999999998</v>
      </c>
      <c r="E12" s="4">
        <f t="shared" si="1"/>
        <v>0.9811531169844987</v>
      </c>
    </row>
    <row r="13" spans="1:5" x14ac:dyDescent="0.25">
      <c r="A13" t="s">
        <v>16</v>
      </c>
      <c r="B13" s="7">
        <v>1.67</v>
      </c>
      <c r="C13" s="7">
        <v>0.65</v>
      </c>
      <c r="D13" s="5">
        <f t="shared" si="0"/>
        <v>2.3199999999999998</v>
      </c>
      <c r="E13" s="4">
        <f t="shared" si="1"/>
        <v>0.8984610237537638</v>
      </c>
    </row>
  </sheetData>
  <mergeCells count="2">
    <mergeCell ref="A2:E2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DE FREITAS</dc:creator>
  <cp:lastModifiedBy>Mathilde DE FREITAS</cp:lastModifiedBy>
  <dcterms:created xsi:type="dcterms:W3CDTF">2024-03-06T08:19:50Z</dcterms:created>
  <dcterms:modified xsi:type="dcterms:W3CDTF">2024-03-13T13:05:12Z</dcterms:modified>
</cp:coreProperties>
</file>