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CS_training\DAY1\PW1\Practical_Work_1_students\"/>
    </mc:Choice>
  </mc:AlternateContent>
  <xr:revisionPtr revIDLastSave="0" documentId="13_ncr:1_{93069B27-1AA3-4D1B-AF96-B4327D419B85}" xr6:coauthVersionLast="36" xr6:coauthVersionMax="47" xr10:uidLastSave="{00000000-0000-0000-0000-000000000000}"/>
  <bookViews>
    <workbookView minimized="1" xWindow="28692" yWindow="-108" windowWidth="29016" windowHeight="15816" tabRatio="500" activeTab="3" xr2:uid="{00000000-000D-0000-FFFF-FFFF00000000}"/>
  </bookViews>
  <sheets>
    <sheet name="USMs" sheetId="9" r:id="rId1"/>
    <sheet name="Ini" sheetId="2" r:id="rId2"/>
    <sheet name="Soils" sheetId="3" r:id="rId3"/>
    <sheet name="Tec" sheetId="5" r:id="rId4"/>
    <sheet name="Station" sheetId="6" r:id="rId5"/>
    <sheet name="Obs" sheetId="8" r:id="rId6"/>
  </sheets>
  <definedNames>
    <definedName name="_xlnm._FilterDatabase" localSheetId="1" hidden="1">Ini!$C$1:$C$4</definedName>
    <definedName name="_xlnm._FilterDatabase" localSheetId="5" hidden="1">Obs!$A$1:$B$800</definedName>
    <definedName name="_xlnm._FilterDatabase" localSheetId="2" hidden="1">Soils!$A$1:$A$1</definedName>
    <definedName name="_xlnm._FilterDatabase" localSheetId="4" hidden="1">Station!$A$1:$A$6</definedName>
    <definedName name="_xlnm._FilterDatabase" localSheetId="3" hidden="1">Tec!$A$1:$EL$3</definedName>
  </definedNames>
  <calcPr calcId="191029"/>
</workbook>
</file>

<file path=xl/calcChain.xml><?xml version="1.0" encoding="utf-8"?>
<calcChain xmlns="http://schemas.openxmlformats.org/spreadsheetml/2006/main">
  <c r="G2" i="6" l="1"/>
  <c r="D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Florent</author>
    <author>Florent C.</author>
  </authors>
  <commentList>
    <comment ref="B1" authorId="0" shapeId="0" xr:uid="{EBC589CB-0600-4D1A-AD93-66DCF178A9F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the beginning simulation (julian day) (from 1 to 731)</t>
        </r>
      </text>
    </comment>
    <comment ref="C1" authorId="0" shapeId="0" xr:uid="{F7CA8CEF-31B7-458A-BFA6-69A311CE7D2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the end of the simulation (julian day) (from 1 to 731)</t>
        </r>
      </text>
    </comment>
    <comment ref="D1" authorId="0" shapeId="0" xr:uid="{CC69E291-D728-41D2-848F-E17404E235F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***_ini.xml file</t>
        </r>
      </text>
    </comment>
    <comment ref="E1" authorId="1" shapeId="0" xr:uid="{BAA22BBF-2AD6-4BCC-AA07-61C4A8624A3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name of the soil</t>
        </r>
      </text>
    </comment>
    <comment ref="F1" authorId="0" shapeId="0" xr:uid="{A01D0C16-9C66-4017-BBEA-7AB6D169370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***_sta.xml file</t>
        </r>
      </text>
    </comment>
    <comment ref="I1" authorId="1" shapeId="0" xr:uid="{A4E90FE3-03C0-4E23-B5E1-DBC79E66DB8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calendar years involved in the crop cycle 
1 = 1 year e.g. for spring crops, 
2 = two years, e.g. for winter crops</t>
        </r>
      </text>
    </comment>
    <comment ref="J1" authorId="1" shapeId="0" xr:uid="{66747057-14C7-49EC-BF5C-3323D09E255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simulated plants</t>
        </r>
      </text>
    </comment>
    <comment ref="K1" authorId="1" shapeId="0" xr:uid="{220CCCD0-7D32-4EA8-B6AA-7AC48E7AD09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simulation code: culture or feuille (forced LAI)</t>
        </r>
      </text>
    </comment>
    <comment ref="L1" authorId="0" shapeId="0" xr:uid="{DCB312EA-A6D8-41E7-9F97-1FFC8699B92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***_plt.xml file (1st crop)</t>
        </r>
      </text>
    </comment>
    <comment ref="M1" authorId="0" shapeId="0" xr:uid="{2CDD4BCD-315C-4770-813E-6725725C5DF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***_ini.xml file (1st crop)</t>
        </r>
      </text>
    </comment>
    <comment ref="N1" authorId="0" shapeId="0" xr:uid="{7DD55A35-AE53-4BBE-B180-90A94AAD923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(1st crop)</t>
        </r>
      </text>
    </comment>
    <comment ref="O1" authorId="0" shapeId="0" xr:uid="{BA884F5A-56AB-41DF-9E3E-27B5B2FF698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(1st crop)</t>
        </r>
      </text>
    </comment>
    <comment ref="P1" authorId="0" shapeId="0" xr:uid="{6B9CB2CB-F007-43FF-9E8B-4A537A0B455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***_plt.xml file (2nd crop)</t>
        </r>
      </text>
    </comment>
    <comment ref="Q1" authorId="0" shapeId="0" xr:uid="{C7C2DD1E-7690-4029-90C9-9A9ED6EE7A0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***_tec.xml file (2nd crop)</t>
        </r>
      </text>
    </comment>
    <comment ref="R1" authorId="0" shapeId="0" xr:uid="{51022E33-55B4-45D7-BF17-3CF74B28D2D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(2nd crop)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Florent</author>
    <author>Ferchaud</author>
  </authors>
  <commentList>
    <comment ref="C1" authorId="0" shapeId="0" xr:uid="{E2F341B6-72A2-48CA-A648-B059143A05B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crop stage at the beginning of simulation (1st crop):
snu
plt
lev
amf
lax
drp
sen
dor</t>
        </r>
      </text>
    </comment>
    <comment ref="D1" authorId="0" shapeId="0" xr:uid="{DA25B15A-15FC-4839-A127-57699B50734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leaf area index (1st crop) (m².m-²)</t>
        </r>
      </text>
    </comment>
    <comment ref="E1" authorId="0" shapeId="0" xr:uid="{7A49F3EE-53F6-4759-B908-EAED2DE838C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zrac0 (initial depth of root apex of the crop) (cm) (1st crop)</t>
        </r>
      </text>
    </comment>
    <comment ref="F1" authorId="0" shapeId="0" xr:uid="{C97ECC61-1886-4105-B96E-24F9E1352E1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grain dry weight (g.m-2) (1st crop)</t>
        </r>
      </text>
    </comment>
    <comment ref="G1" authorId="1" shapeId="0" xr:uid="{D0194DA2-F686-4290-B777-5495E778C5B3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Simulation of Nitrogen and Carbon reserves
1 = yes
2 = no</t>
        </r>
      </text>
    </comment>
    <comment ref="H1" authorId="1" shapeId="0" xr:uid="{A0CF3ED9-B53F-4D85-B679-FECFB1D7004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I1" authorId="1" shapeId="0" xr:uid="{842C270F-15FB-4243-8DDC-7E0D748CDCE9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J1" authorId="1" shapeId="0" xr:uid="{8BEAC536-6540-4484-A0BD-9A8F510939A1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K1" authorId="1" shapeId="0" xr:uid="{428961D1-1694-493F-82FA-A0837313CE1E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L1" authorId="1" shapeId="0" xr:uid="{2E93CA05-4FEE-4510-8650-E4EC340FF2AE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2</t>
        </r>
      </text>
    </comment>
    <comment ref="M1" authorId="1" shapeId="0" xr:uid="{CC351A31-EF70-414E-8D7D-4F5D1527CA37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2</t>
        </r>
      </text>
    </comment>
    <comment ref="N1" authorId="1" shapeId="0" xr:uid="{33106307-CE03-41A4-91E3-920288D50D1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2</t>
        </r>
      </text>
    </comment>
    <comment ref="O1" authorId="0" shapeId="0" xr:uid="{30450C77-8248-4A5C-9FB3-A45727D47C1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root density in the first soil layers (cm.cm-3) (1st crop)</t>
        </r>
      </text>
    </comment>
    <comment ref="T1" authorId="0" shapeId="0" xr:uid="{FC8B7809-94EC-47D2-9FF7-C16F7EAF1DF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gravimetric water content of the first soil layer (/fine earth) (% w)</t>
        </r>
      </text>
    </comment>
    <comment ref="Y1" authorId="0" shapeId="0" xr:uid="{00BF1B87-64A6-497A-AE0C-96D4B0E5812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amount of NO3-N in the frist soil layer (/fine earth) (kg.ha-1)</t>
        </r>
      </text>
    </comment>
    <comment ref="AD1" authorId="0" shapeId="0" xr:uid="{EF95F47B-BE5D-4737-AB15-343F2581E53F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initial amount of NH4-N of the first soil layer (/fine earth) (kg.ha-1)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constantin</author>
    <author>Windows User</author>
    <author>Ferchaud</author>
    <author>Florent</author>
    <author>Loïc Strullu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Clay content after decarbonation (%)
Calculé à partir de la teneur en argile et en calcaire de l'horizon de surface :
Am = 0.0001*K^2-0.702*K+AG
K = calcaire
Ag = teneur en argile
Am = argile minéralisant (Argile après décarbonation)</t>
        </r>
      </text>
    </comment>
    <comment ref="C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organic N content in the first soil layer (supposed constant down to the depth profhum), equal tot total nitrogen (Kjeldhal method) (% dry soil)
</t>
        </r>
      </text>
    </comment>
    <comment ref="D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Maximum soil depth with active biological activity (cm) (max. 60 cm)</t>
        </r>
      </text>
    </comment>
    <comment ref="E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Total carbonate content (%)</t>
        </r>
      </text>
    </comment>
    <comment ref="F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Florent C. :
</t>
        </r>
        <r>
          <rPr>
            <sz val="9"/>
            <color indexed="81"/>
            <rFont val="Tahoma"/>
            <family val="2"/>
          </rPr>
          <t>Initial soil pH (water solution)
Pas de donnée disponible on prend une valeur par défaut de 8</t>
        </r>
      </text>
    </comment>
    <comment ref="G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Minimum concentration of HNO3 in soil (kg/ha/mm)</t>
        </r>
      </text>
    </comment>
    <comment ref="H1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Albedo of the bare dry soil</t>
        </r>
      </text>
    </comment>
    <comment ref="I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Cumulative soil evaporation above which evaporation rate is decreased (mm)</t>
        </r>
      </text>
    </comment>
    <comment ref="J1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Function of runnoff (relative to total rainfall) in bare soil</t>
        </r>
      </text>
    </comment>
    <comment ref="K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root growth is stopped due to physical constraints (cm)</t>
        </r>
      </text>
    </comment>
    <comment ref="L1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amount of rain required to create a soil crust (mm/d)</t>
        </r>
      </text>
    </comment>
    <comment ref="M1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Mulch depth from which a crust occurs</t>
        </r>
      </text>
    </comment>
    <comment ref="N1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soil depth affected by soil evaporation (cm)</t>
        </r>
      </text>
    </comment>
    <comment ref="O1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defining the soil contribution to evaporation versus depth</t>
        </r>
      </text>
    </comment>
    <comment ref="P1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Roughness length of bare soil (m)</t>
        </r>
      </text>
    </comment>
    <comment ref="Q1" authorId="1" shapeId="0" xr:uid="{00000000-0006-0000-0200-000010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soil C to N ratio of soil humus</t>
        </r>
      </text>
    </comment>
    <comment ref="R1" authorId="2" shapeId="0" xr:uid="{00000000-0006-0000-0200-000011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initial fraction of inert soil organic carbon</t>
        </r>
      </text>
    </comment>
    <comment ref="S1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Runnoff coefficient taking account for plant mulch</t>
        </r>
      </text>
    </comment>
    <comment ref="T1" authorId="3" shapeId="0" xr:uid="{00000000-0006-0000-0200-000013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take into account pebbles in the water and N balances (1 = yes, 2 = no, )</t>
        </r>
      </text>
    </comment>
    <comment ref="U1" authorId="3" shapeId="0" xr:uid="{00000000-0006-0000-0200-00001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calculation of water flux in soil macroporosity (1 = yes, 2 = no)</t>
        </r>
      </text>
    </comment>
    <comment ref="V1" authorId="3" shapeId="0" xr:uid="{00000000-0006-0000-0200-000015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an additional water compartment for swelling soils (1 = yes, 2 = no)</t>
        </r>
      </text>
    </comment>
    <comment ref="W1" authorId="3" shapeId="0" xr:uid="{00000000-0006-0000-0200-000016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simulate artificial drainage (1 = yes, no = 2)</t>
        </r>
      </text>
    </comment>
    <comment ref="X1" authorId="3" shapeId="0" xr:uid="{00000000-0006-0000-0200-000017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Upper depth of the impermeable layer (from the soil surface). May be greater than the soil depth. (cm) </t>
        </r>
      </text>
    </comment>
    <comment ref="Y1" authorId="3" shapeId="0" xr:uid="{00000000-0006-0000-0200-00001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distance between mole drains (cm)</t>
        </r>
      </text>
    </comment>
    <comment ref="Z1" authorId="3" shapeId="0" xr:uid="{00000000-0006-0000-0200-000019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hydraulic conductivity in the vicinity of mole drains</t>
        </r>
      </text>
    </comment>
    <comment ref="AA1" authorId="3" shapeId="0" xr:uid="{00000000-0006-0000-0200-00001A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depth of mole drains (cm)</t>
        </r>
      </text>
    </comment>
    <comment ref="AB1" authorId="3" shapeId="0" xr:uid="{00000000-0006-0000-0200-00001B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capillary rise (1 = yes, 2 = no)</t>
        </r>
      </text>
    </comment>
    <comment ref="AC1" authorId="3" shapeId="0" xr:uid="{00000000-0006-0000-0200-00001C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capillary rise upward water flux (mm.d-1)</t>
        </r>
      </text>
    </comment>
    <comment ref="AD1" authorId="3" shapeId="0" xr:uid="{00000000-0006-0000-0200-00001D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threshold of soil gravimetric water content under which capillary rise occurs (% w)</t>
        </r>
      </text>
    </comment>
    <comment ref="AE1" authorId="3" shapeId="0" xr:uid="{00000000-0006-0000-0200-00001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nitrification rate model (1 = yes, 2 = no)</t>
        </r>
      </text>
    </comment>
    <comment ref="AF1" authorId="3" shapeId="0" xr:uid="{00000000-0006-0000-0200-00001F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on which denitrification is active (if codedenit is activated)</t>
        </r>
      </text>
    </comment>
    <comment ref="AG1" authorId="3" shapeId="0" xr:uid="{00000000-0006-0000-0200-000020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on which denitrification is active (if codedenit is activated) (cm)</t>
        </r>
      </text>
    </comment>
    <comment ref="AH1" authorId="3" shapeId="0" xr:uid="{00000000-0006-0000-0200-000021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potential rate of denitrification for the whole denitrifying layer (ka.ha-1.d-1)</t>
        </r>
      </text>
    </comment>
    <comment ref="AI1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thickness of soil layer 1 (cm)</t>
        </r>
      </text>
    </comment>
    <comment ref="AJ1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gravimetric water content at field capacity ofsoil layer 1 (/fine earth) (% w)</t>
        </r>
      </text>
    </comment>
    <comment ref="AK1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gravimetric water content at wilting point of soil layer 1 (/fine earth) (% w)</t>
        </r>
      </text>
    </comment>
    <comment ref="AL1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fine earth fraction in soil layer 1 (g/cm3)</t>
        </r>
      </text>
    </comment>
    <comment ref="AM1" authorId="1" shapeId="0" xr:uid="{00000000-0006-0000-0200-000026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Volumetric content of pebbles for the 1st soil layer (m3/m3)</t>
        </r>
      </text>
    </comment>
    <comment ref="AN1" authorId="3" shapeId="0" xr:uid="{00000000-0006-0000-0200-000027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Pebbles type defined by a volumetric mass value (masvolx) and a field capacity moisture value (HCCCX) only used  if codecailloux=1 . 
typecailloux= 
1:Beauce limestone1, 
2:Beauce limestone2, 
3:lutecian limestone, 
4:Lutetian Brackish marl and limestone,
5:Morainic gravels,
6:Unweathered flint, sandstone or granite,
7:weathered granite,
8:Jurassic limestone,
9:Pebbles from Magneraud,
10:Other pebbles</t>
        </r>
      </text>
    </comment>
    <comment ref="AO1" authorId="1" shapeId="0" xr:uid="{00000000-0006-0000-0200-00002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Infiltrability rate at the base of the 1st soil layer</t>
        </r>
      </text>
    </comment>
    <comment ref="AP1" authorId="1" shapeId="0" xr:uid="{00000000-0006-0000-0200-000029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Thickness of mixing cells in soil layer 1 (cm)</t>
        </r>
      </text>
    </comment>
    <comment ref="AQ1" authorId="4" shapeId="0" xr:uid="{13F2B726-ED86-4305-B122-C354091256EE}">
      <text>
        <r>
          <rPr>
            <b/>
            <sz val="9"/>
            <color indexed="81"/>
            <rFont val="Tahoma"/>
            <family val="2"/>
          </rPr>
          <t>Loïc Strullu:</t>
        </r>
        <r>
          <rPr>
            <sz val="9"/>
            <color indexed="81"/>
            <rFont val="Tahoma"/>
            <family val="2"/>
          </rPr>
          <t xml:space="preserve">
Pour les sols non crayeux par défaut la profondeur de l'horizon 2 correspond à :
epc2 = obstarac - epc1</t>
        </r>
      </text>
    </comment>
    <comment ref="AT1" authorId="4" shapeId="0" xr:uid="{0814D3D2-5D64-47EA-B35D-97120B19612B}">
      <text>
        <r>
          <rPr>
            <b/>
            <sz val="9"/>
            <color indexed="81"/>
            <rFont val="Tahoma"/>
            <family val="2"/>
          </rPr>
          <t>Loïc Strullu:</t>
        </r>
        <r>
          <rPr>
            <sz val="9"/>
            <color indexed="81"/>
            <rFont val="Tahoma"/>
            <family val="2"/>
          </rPr>
          <t xml:space="preserve">
Moyenne da h2 et h3 si disponible sinon valeur par défaut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Ferchaud</author>
    <author>Florent</author>
    <author>Florent C.</author>
  </authors>
  <commentList>
    <comment ref="P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Automatic calculation of the depth of residues incorporation in function of proftrav
1 = yes
2 = no</t>
        </r>
      </text>
    </comment>
    <comment ref="Q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code_auto_profres = 1</t>
        </r>
      </text>
    </comment>
    <comment ref="R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aud:
if code_auto_profres = 1</t>
        </r>
      </text>
    </comment>
    <comment ref="AB1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sowing (julian day)
min : 1
max : 736</t>
        </r>
      </text>
    </comment>
    <comment ref="AC1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Depth of sowing (cm)</t>
        </r>
      </text>
    </comment>
    <comment ref="AD1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Plant sowing density (plant/m²)</t>
        </r>
      </text>
    </comment>
    <comment ref="AE1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Cultivar number corresponding to the cultivar name in the plant file</t>
        </r>
      </text>
    </comment>
    <comment ref="AF1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description of crop structure with use of radiation transfer (1 =yes, 2 = no)</t>
        </r>
      </text>
    </comment>
    <comment ref="AG1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width of the crop interrow (m)</t>
        </r>
      </text>
    </comment>
    <comment ref="AH1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direction of crop rows (relative to north) (rad)</t>
        </r>
      </text>
    </comment>
    <comment ref="AI1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moisture and frost effects on harvest decision (1 = yes, 2 = no)</t>
        </r>
      </text>
    </comment>
    <comment ref="AJ1" authorId="1" shapeId="0" xr:uid="{00000000-0006-0000-0300-00000C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delay allowed for sowing (number of days) (if the soil compaction option is activated) (day)</t>
        </r>
      </text>
    </comment>
    <comment ref="AK1" authorId="1" shapeId="0" xr:uid="{00000000-0006-0000-0300-00000D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days without frost for sowing (if sowing decision option is activated) (day)</t>
        </r>
      </text>
    </comment>
    <comment ref="AO1" authorId="1" shapeId="0" xr:uid="{00000000-0006-0000-0300-00000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force one or several development stages (1 =yes, 2 = no)</t>
        </r>
      </text>
    </comment>
    <comment ref="AP1" authorId="1" shapeId="0" xr:uid="{00000000-0006-0000-0300-00000F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the stage emergence when the stage is observed (else 999) (julian.d)
min : 1
max : 731</t>
        </r>
      </text>
    </comment>
    <comment ref="AQ1" authorId="1" shapeId="0" xr:uid="{00000000-0006-0000-0300-000010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Florent :
Day of the maximal rate of leaf groth (end of juvenile phase) when the stage is observed (else 999) (julian.d)
min : 1
max : 731</t>
        </r>
      </text>
    </comment>
    <comment ref="AR1" authorId="1" shapeId="0" xr:uid="{00000000-0006-0000-0300-000011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the maximal leaf area index when the stage is observed (else 999) (julian.d)
min : 1
max : 731</t>
        </r>
      </text>
    </comment>
    <comment ref="AS1" authorId="1" shapeId="0" xr:uid="{00000000-0006-0000-0300-00001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the stage SEN (beginning of net senescence) when the stage is observed (else 999) (julian day)
min : 1
max : 731</t>
        </r>
      </text>
    </comment>
    <comment ref="AT1" authorId="1" shapeId="0" xr:uid="{00000000-0006-0000-0300-000013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the stage LAN () if the stage is observed (else 999) (julian day)
min : 1
max : 2</t>
        </r>
      </text>
    </comment>
    <comment ref="AU1" authorId="1" shapeId="0" xr:uid="{00000000-0006-0000-0300-00001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anthesis when the stage is observed (else 999) (julian day) :
min : 1
max : 731</t>
        </r>
      </text>
    </comment>
    <comment ref="AV1" authorId="1" shapeId="0" xr:uid="{00000000-0006-0000-0300-000015000000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day of the stage DRP (beginning of grain filling) when the stage is observed (else 999) (julian day) :
min : 1
max : 731</t>
        </r>
      </text>
    </comment>
    <comment ref="AW1" authorId="1" shapeId="0" xr:uid="{00000000-0006-0000-0300-000016000000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day of maturity when the stage is observed (else 999) (julian day) :
min : 1
max : 731</t>
        </r>
      </text>
    </comment>
    <comment ref="AX1" authorId="1" shapeId="0" xr:uid="{00000000-0006-0000-0300-000017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harvest (julian day) 
min : 1
max : 731</t>
        </r>
      </text>
    </comment>
    <comment ref="AY1" authorId="1" shapeId="0" xr:uid="{00000000-0006-0000-0300-00001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irrigation efficiency</t>
        </r>
      </text>
    </comment>
    <comment ref="AZ1" authorId="1" shapeId="0" xr:uid="{00000000-0006-0000-0300-000019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code to activate the automatic calculation of irrigation requirements (1 = yes, 2 = no)</t>
        </r>
      </text>
    </comment>
    <comment ref="BA1" authorId="1" shapeId="0" xr:uid="{00000000-0006-0000-0300-00001A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water stress index below which irrigation is started in automatic mode (0 in manual mode)</t>
        </r>
      </text>
    </comment>
    <comment ref="BB1" authorId="1" shapeId="0" xr:uid="{00000000-0006-0000-0300-00001B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maximum water amount of irrigation authorised at each time step (mode automatic irrigation) (mm.d-1)
</t>
        </r>
      </text>
    </comment>
    <comment ref="BC1" authorId="1" shapeId="0" xr:uid="{00000000-0006-0000-0300-00001C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amount of irrigation (mm)</t>
        </r>
      </text>
    </comment>
    <comment ref="BD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dates to drive automatic irrigations (1 = dates, 2 = stages, 3 = no)</t>
        </r>
      </text>
    </comment>
    <comment ref="BI1" authorId="1" shapeId="0" xr:uid="{00000000-0006-0000-0300-00001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irrigation application dates given as sum of temperatures (1 = yes, 2 = no)
</t>
        </r>
      </text>
    </comment>
    <comment ref="BJ1" authorId="1" shapeId="0" xr:uid="{00000000-0006-0000-0300-000021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code of irrigation localisation: 
1= above the foliage, 
2= below the foliage above the soil, 
3 = in the soil
</t>
        </r>
      </text>
    </comment>
    <comment ref="BK1" authorId="1" shapeId="0" xr:uid="{00000000-0006-0000-0300-00002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irrigation is applied (cm)</t>
        </r>
      </text>
    </comment>
    <comment ref="BL1" authorId="1" shapeId="0" xr:uid="{00000000-0006-0000-0300-000023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depth of measurement of the soil water reserve (cm)</t>
        </r>
      </text>
    </comment>
    <comment ref="BM1" authorId="1" shapeId="0" xr:uid="{00000000-0006-0000-0300-00002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concentration of mineral N (NH4+NO3-N) in irrigation water (kg.ha-1.mm-1)</t>
        </r>
      </text>
    </comment>
    <comment ref="BN1" authorId="1" shapeId="0" xr:uid="{00000000-0006-0000-0300-000025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mineral fertilizer application dates given as sum of temperatures (1 = yes, 2 = no)</t>
        </r>
      </text>
    </comment>
    <comment ref="BO1" authorId="1" shapeId="0" xr:uid="{00000000-0006-0000-0300-000026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splitting applications of N fertiliser (1 = absolute value, 2 = % of total value)</t>
        </r>
      </text>
    </comment>
    <comment ref="BW1" authorId="1" shapeId="0" xr:uid="{00000000-0006-0000-0300-00002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code of fertilisation localisation
1 = at soil surface,
2 = in the soil</t>
        </r>
      </text>
    </comment>
    <comment ref="BX1" authorId="1" shapeId="0" xr:uid="{00000000-0006-0000-0300-00002F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fertiliser is applied (cm)</t>
        </r>
      </text>
    </comment>
    <comment ref="BZ1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type of crop residue 
roots
whole_crop
straw+roots
stubble+roots
stubble_of_residu_type_9+roots
stubble_of_residu_type_10+roots
prunings</t>
        </r>
      </text>
    </comment>
    <comment ref="CA1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automatic calculation of crop aerial residues in function of user parameterization (1 = yes, 2 = no)</t>
        </r>
      </text>
    </comment>
    <comment ref="CC1" authorId="1" shapeId="0" xr:uid="{00000000-0006-0000-0300-00003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harvest type 
1 = single harvest (cutting), 
2 = multiple harvests (picking)</t>
        </r>
      </text>
    </comment>
    <comment ref="CD1" authorId="1" shapeId="0" xr:uid="{00000000-0006-0000-0300-000033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fruit harvestings
1= one at the end, 
2 = many during the cycle</t>
        </r>
      </text>
    </comment>
    <comment ref="CE1" authorId="1" shapeId="0" xr:uid="{00000000-0006-0000-0300-00003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days between two harvests (day)</t>
        </r>
      </text>
    </comment>
    <comment ref="CF1" authorId="1" shapeId="0" xr:uid="{00000000-0006-0000-0300-000035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decision to harvest 
1 = physiological maturity, 
2 = water content, 
3 = sugar content, 
4 = nitrogen content, 
5 = oil content</t>
        </r>
      </text>
    </comment>
    <comment ref="CG1" authorId="1" shapeId="0" xr:uid="{00000000-0006-0000-0300-000036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harvest as a function of grain/fruit water content
1 = minimum
2 = maximum</t>
        </r>
      </text>
    </comment>
    <comment ref="CH1" authorId="1" shapeId="0" xr:uid="{00000000-0006-0000-0300-000037000000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minimal water content of fruits at harvest  (/fresh matter) (g.g-1 FW)</t>
        </r>
      </text>
    </comment>
    <comment ref="CI1" authorId="1" shapeId="0" xr:uid="{00000000-0006-0000-0300-00003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water content of fruits at harvest  (/fresh matter) (g.g-1 FW)</t>
        </r>
      </text>
    </comment>
    <comment ref="CJ1" authorId="1" shapeId="0" xr:uid="{00000000-0006-0000-0300-000039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sugar concentration at harvest (/ fresh matter) (g.g-1 FW)</t>
        </r>
      </text>
    </comment>
    <comment ref="CK1" authorId="1" shapeId="0" xr:uid="{00000000-0006-0000-0300-00003A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N content of grain at harvest </t>
        </r>
      </text>
    </comment>
    <comment ref="CL1" authorId="1" shapeId="0" xr:uid="{00000000-0006-0000-0300-00003B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oil content of fruits at harvest (/fresh matter) (g.g-1 FW)</t>
        </r>
      </text>
    </comment>
    <comment ref="CM1" authorId="1" shapeId="0" xr:uid="{00000000-0006-0000-0300-00003C000000}">
      <text>
        <r>
          <rPr>
            <b/>
            <sz val="9"/>
            <color indexed="81"/>
            <rFont val="Tahoma"/>
            <family val="2"/>
          </rPr>
          <t xml:space="preserve">
Florent C.:</t>
        </r>
        <r>
          <rPr>
            <sz val="9"/>
            <color indexed="81"/>
            <rFont val="Tahoma"/>
            <family val="2"/>
          </rPr>
          <t xml:space="preserve">
option to harvest intercrop species simultaneously, at the physiological maturity date of the earliest one (1 = no, 2 = yes)</t>
        </r>
      </text>
    </comment>
    <comment ref="CN1" authorId="1" shapeId="0" xr:uid="{00000000-0006-0000-0300-00003D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moisture and frost effects on harvest decision (1 = yes, 2 = no)</t>
        </r>
      </text>
    </comment>
    <comment ref="CO1" authorId="1" shapeId="0" xr:uid="{00000000-0006-0000-0300-00003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delay allowed for harvest (number of days) (if the soil compaction option is activated)</t>
        </r>
      </text>
    </comment>
    <comment ref="CP1" authorId="1" shapeId="0" xr:uid="{00000000-0006-0000-0300-00003F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cuts of forage crops (1 = yes, 2 = no)</t>
        </r>
      </text>
    </comment>
    <comment ref="CQ1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dynamic calculation of residual lai on biomass after cutting (1 = yes, 2 = no)</t>
        </r>
      </text>
    </comment>
    <comment ref="CR1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reference thermal time to compute cutting dates</t>
        </r>
      </text>
    </comment>
    <comment ref="CS1" authorId="1" shapeId="0" xr:uid="{00000000-0006-0000-0300-00004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defining the cut mode 
1 = automatic calculation depending on phenologic and trophic state,
2 = pre-established calendar in days, 
3 = pre-established calendar in degree-days</t>
        </r>
      </text>
    </comment>
    <comment ref="CT1" authorId="1" shapeId="0" xr:uid="{00000000-0006-0000-0300-000043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 height for forage crops (calendar calculated) (m)</t>
        </r>
      </text>
    </comment>
    <comment ref="CU1" authorId="1" shapeId="0" xr:uid="{00000000-0006-0000-0300-00004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stage of automatic cut for forage crops
flo
drp
des 
mat
rec</t>
        </r>
      </text>
    </comment>
    <comment ref="CV1" authorId="1" shapeId="0" xr:uid="{00000000-0006-0000-0300-000045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option: 1 = no cover, 2 = plastic cover partly covering the soil </t>
        </r>
      </text>
    </comment>
    <comment ref="CW1" authorId="1" shapeId="0" xr:uid="{00000000-0006-0000-0300-000046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soil covered by the plastic mulch </t>
        </r>
      </text>
    </comment>
    <comment ref="CX1" authorId="1" shapeId="0" xr:uid="{00000000-0006-0000-0300-000047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albedo of plastic cover</t>
        </r>
      </text>
    </comment>
    <comment ref="CY1" authorId="1" shapeId="0" xr:uid="{00000000-0006-0000-0300-00004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foliage control by trimming (1 = no, 2 = yes)</t>
        </r>
      </text>
    </comment>
    <comment ref="CZ1" authorId="1" shapeId="0" xr:uid="{00000000-0006-0000-0300-000049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trimmed width (m)</t>
        </r>
      </text>
    </comment>
    <comment ref="DA1" authorId="1" shapeId="0" xr:uid="{00000000-0006-0000-0300-00004A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cutting height for trimmed plants (m)</t>
        </r>
      </text>
    </comment>
    <comment ref="DB1" authorId="1" shapeId="0" xr:uid="{00000000-0006-0000-0300-00004B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biomass to be removed when topping (automatic calculation) (t.ha-1)</t>
        </r>
      </text>
    </comment>
    <comment ref="DC1" authorId="1" shapeId="0" xr:uid="{00000000-0006-0000-0300-00004C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calculation of tipping 
1 = forced topping,
 2 = automatic calculation</t>
        </r>
      </text>
    </comment>
    <comment ref="DD1" authorId="1" shapeId="0" xr:uid="{00000000-0006-0000-0300-00004D000000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day of plant trimming (julian day)
min : 1
max : 731</t>
        </r>
      </text>
    </comment>
    <comment ref="DE1" authorId="1" shapeId="0" xr:uid="{00000000-0006-0000-0300-00004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topping occurs when plant height exceeds (hautrogne+margerogne) when automatic trimming is activated (m)</t>
        </r>
      </text>
    </comment>
    <comment ref="DF1" authorId="1" shapeId="0" xr:uid="{00000000-0006-0000-0300-00004F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for the method of fruit removal (1 = no, 2 = yes for smallest fruits) </t>
        </r>
      </text>
    </comment>
    <comment ref="DG1" authorId="1" shapeId="0" xr:uid="{00000000-0006-0000-0300-000051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thinning (1 = nos, 2 = yes)</t>
        </r>
      </text>
    </comment>
    <comment ref="DH1" authorId="1" shapeId="0" xr:uid="{00000000-0006-0000-0300-00005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leaf removal height (1 = bottom of the canopy, 2 = top of the canopy)</t>
        </r>
      </text>
    </comment>
    <comment ref="DI1" authorId="1" shapeId="0" xr:uid="{00000000-0006-0000-0300-000053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for the method to use for the calculation of leaf removal  (1 = no, 2 =yes)</t>
        </r>
      </text>
    </comment>
    <comment ref="DJ1" authorId="1" shapeId="0" xr:uid="{00000000-0006-0000-0300-00005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LAI of the beginning of leaf removal (m².m-²)</t>
        </r>
      </text>
    </comment>
    <comment ref="DK1" authorId="1" shapeId="0" xr:uid="{00000000-0006-0000-0300-000055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daily leaf removed at thinning</t>
        </r>
      </text>
    </comment>
    <comment ref="DL1" authorId="1" shapeId="0" xr:uid="{00000000-0006-0000-0300-000056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leaf removal (julian day)
min : 1
max : 731</t>
        </r>
      </text>
    </comment>
    <comment ref="DM1" authorId="1" shapeId="0" xr:uid="{00000000-0006-0000-0300-000057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LAI removed from the crop at day juleffeuil (m².m-²)
</t>
        </r>
      </text>
    </comment>
    <comment ref="DN1" authorId="1" shapeId="0" xr:uid="{00000000-0006-0000-0300-00005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pruning (1 = no, 2 = yes)</t>
        </r>
      </text>
    </comment>
    <comment ref="DO1" authorId="1" shapeId="0" xr:uid="{00000000-0006-0000-0300-000059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pruning (julian day)
min : 1
max : 731</t>
        </r>
      </text>
    </comment>
    <comment ref="DP1" authorId="1" shapeId="0" xr:uid="{00000000-0006-0000-0300-00005A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defining if the plant is fixed onto a vertical suuport (palissage) (1 = no, 2 = yes)</t>
        </r>
      </text>
    </comment>
    <comment ref="DQ1" authorId="1" shapeId="0" xr:uid="{00000000-0006-0000-0300-00005B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height of the plant allowed by the management (m)</t>
        </r>
      </text>
    </comment>
    <comment ref="DR1" authorId="1" shapeId="0" xr:uid="{00000000-0006-0000-0300-00005C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technical width (m)</t>
        </r>
      </text>
    </comment>
    <comment ref="DS1" authorId="2" shapeId="0" xr:uid="{00000000-0006-0000-0300-00005D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cropping under shelter (1 = no, 2 = yes)</t>
        </r>
      </text>
    </comment>
    <comment ref="DT1" authorId="2" shapeId="0" xr:uid="{00000000-0006-0000-0300-00005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transmission coefficient of the plastic shelter</t>
        </r>
      </text>
    </comment>
    <comment ref="DU1" authorId="2" shapeId="0" xr:uid="{00000000-0006-0000-0300-00005F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relative area of the shelter opened the first day of opening</t>
        </r>
      </text>
    </comment>
    <comment ref="DV1" authorId="2" shapeId="0" xr:uid="{00000000-0006-0000-0300-000060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(1/2) of opening the shelter (julian day)
min : 1
max : 731</t>
        </r>
      </text>
    </comment>
    <comment ref="DW1" authorId="2" shapeId="0" xr:uid="{00000000-0006-0000-0300-000061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relative area of the shelter opened the second day of opening</t>
        </r>
      </text>
    </comment>
    <comment ref="DX1" authorId="2" shapeId="0" xr:uid="{00000000-0006-0000-0300-00006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(2/2) of opening the shelter (julian day)
min : 1
max : 731</t>
        </r>
      </text>
    </comment>
    <comment ref="DY1" authorId="2" shapeId="0" xr:uid="{00000000-0006-0000-0300-000063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relative area of the shelter opened the third day of opening</t>
        </r>
      </text>
    </comment>
    <comment ref="DZ1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date of plant destruction (for perennial crops only) (1 = yes, 2 = no)</t>
        </r>
      </text>
    </comment>
    <comment ref="EB1" authorId="2" shapeId="0" xr:uid="{00000000-0006-0000-0300-000065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variations in soil physical soil conditions due to tillage (1 = yes, 2 = no)</t>
        </r>
      </text>
    </comment>
    <comment ref="EC1" authorId="2" shapeId="0" xr:uid="{00000000-0006-0000-0300-000066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soil tillage (Chisel) (g.cm-3)</t>
        </r>
      </text>
    </comment>
    <comment ref="ED1" authorId="2" shapeId="0" xr:uid="{00000000-0006-0000-0300-000067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full inversion tillage (plough) (g.cm-3)</t>
        </r>
      </text>
    </comment>
    <comment ref="EE1" authorId="2" shapeId="0" xr:uid="{00000000-0006-0000-0300-00006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roughness length of bare soil after chisel tillage (if soil compaction is activated) (m)</t>
        </r>
      </text>
    </comment>
    <comment ref="EF1" authorId="2" shapeId="0" xr:uid="{00000000-0006-0000-0300-000069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roughness length of bare soil after mouldboard ploughing (if soil compaction is activated) (m)</t>
        </r>
      </text>
    </comment>
    <comment ref="EG1" authorId="2" shapeId="0" xr:uid="{00000000-0006-0000-0300-00006A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soil compaction at sowing and harvest  (1 = yes, 2 = no) (m)</t>
        </r>
      </text>
    </comment>
    <comment ref="EH1" authorId="2" shapeId="0" xr:uid="{00000000-0006-0000-0300-00006B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moisture is considered to allow sowing (if soil compaction is activated) (cm)</t>
        </r>
      </text>
    </comment>
    <comment ref="EI1" authorId="2" shapeId="0" xr:uid="{00000000-0006-0000-0300-00006C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sowing (g.cm-3)</t>
        </r>
      </text>
    </comment>
    <comment ref="EJ1" authorId="2" shapeId="0" xr:uid="{00000000-0006-0000-0300-00006D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moisture is considered to allow harvesting (if soil compaction is activated) (cm)</t>
        </r>
      </text>
    </comment>
    <comment ref="EK1" authorId="2" shapeId="0" xr:uid="{00000000-0006-0000-0300-00006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harvest (g.cm-3)</t>
        </r>
      </text>
    </comment>
    <comment ref="EL1" authorId="2" shapeId="0" xr:uid="{00000000-0006-0000-0300-00006F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compacted soil layers
1 = one layer, 
2 = two layers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Florent</author>
  </authors>
  <commentList>
    <comment ref="B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reference height of meteorological data measurement</t>
        </r>
      </text>
    </comment>
    <comment ref="C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NH3 concentration in the atmosphere (µg.m-3)</t>
        </r>
      </text>
    </comment>
    <comment ref="E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latitude of the site (degree)
</t>
        </r>
      </text>
    </comment>
    <comment ref="F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atmospheric pressure
 (mbar)</t>
        </r>
      </text>
    </comment>
    <comment ref="G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climatic component of A to calculate actual soil evaporation
 (mm)</t>
        </r>
      </text>
    </comment>
    <comment ref="H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for the method of calculating PET:
1 = forced Penman,
 2 = calculated Penman,
 3= Shuttleworth &amp; Wallace,
 4 = Priestley &amp; Taylor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Priestley-Taylor formula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climate change (1 = no, 2 =yes)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calculation of the climate in altitude (1 = no, 2 = yes)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altitude of the input metorological station (m)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altitude of simulated site (m.)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thermal gradient in altitude for minimal temperatures (degreeC.m-1)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thermal gradient in altitude for maximal temperatures (degreeC.m-1)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altitude of inversion of the thermal gradient (m)</t>
        </r>
      </text>
    </comment>
    <comment ref="Q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thermal gradient in altitude for minimal temperatures under the inversion level (degreeC.m-1)</t>
        </r>
      </text>
    </comment>
    <comment ref="R1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sunny hours allowing the inversion of thermal gradient with altitude</t>
        </r>
      </text>
    </comment>
    <comment ref="S1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calculate mountain climate taking into account the orientation (1 = south, 2 = north)</t>
        </r>
      </text>
    </comment>
    <comment ref="T1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change in air temperature in the northern hillslope of mountains (activated if codadret=2)</t>
        </r>
      </text>
    </comment>
    <comment ref="U1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aerodynamic resistance (used in volatilization module when we use ETP approach)</t>
        </r>
      </text>
    </comment>
    <comment ref="V1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albedo of the vegetation</t>
        </r>
      </text>
    </comment>
    <comment ref="W1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coefficient of the Angstrom's relationship for extraterrestrial radiation</t>
        </r>
      </text>
    </comment>
    <comment ref="X1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coefficient of the Angstrom's relationship for extraterrestrial radiation</t>
        </r>
      </text>
    </comment>
    <comment ref="Y1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temperature to substract to Tmin to estimate dew point temperature (in case of missing air humidity data)</t>
        </r>
      </text>
    </comment>
    <comment ref="Z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use of crop temperature for phasic development calculation:
1 = empirical relation,
2 =energy balance</t>
        </r>
      </text>
    </comment>
    <comment ref="AA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calculation of net radiation:
1 = Brunt's method,
2 = Cellier's method</t>
        </r>
      </text>
    </comment>
    <comment ref="AB1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multiplier coefficient of the exterior radiation to compute PET inside of a greenhouse</t>
        </r>
      </text>
    </comment>
    <comment ref="AC1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calculation of the energetic loss between the inside and the outside of a greenhouse (W.m-2.K-1)</t>
        </r>
      </text>
    </comment>
    <comment ref="AD1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calculation of the energetic lost between the inside and the outside of a greenhouse (W.m-2.K-1)</t>
        </r>
      </text>
    </comment>
    <comment ref="AE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the climate calculation under the shelter</t>
        </r>
      </text>
    </comment>
    <comment ref="AF1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allowing the calculation of the climate under shelter</t>
        </r>
      </text>
    </comment>
    <comment ref="AG1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coefficient of calculation of the net radiation under greenhouse</t>
        </r>
      </text>
    </comment>
  </commentList>
</comments>
</file>

<file path=xl/sharedStrings.xml><?xml version="1.0" encoding="utf-8"?>
<sst xmlns="http://schemas.openxmlformats.org/spreadsheetml/2006/main" count="344" uniqueCount="332">
  <si>
    <t>usm_name</t>
  </si>
  <si>
    <t>datedebut</t>
  </si>
  <si>
    <t>datefin</t>
  </si>
  <si>
    <t>finit</t>
  </si>
  <si>
    <t>nomsol</t>
  </si>
  <si>
    <t>fstation</t>
  </si>
  <si>
    <t>fclim1</t>
  </si>
  <si>
    <t>fclim2</t>
  </si>
  <si>
    <t>culturean</t>
  </si>
  <si>
    <t>nbplantes</t>
  </si>
  <si>
    <t>codesimul</t>
  </si>
  <si>
    <t>fplt_1</t>
  </si>
  <si>
    <t>ftec_1</t>
  </si>
  <si>
    <t>flai_1</t>
  </si>
  <si>
    <t>fplt_2</t>
  </si>
  <si>
    <t>ftec_2</t>
  </si>
  <si>
    <t>flai_2</t>
  </si>
  <si>
    <t>Ini_name</t>
  </si>
  <si>
    <t>stade0_Crop1</t>
  </si>
  <si>
    <t>lai0_Crop1</t>
  </si>
  <si>
    <t>masec0_Crop1</t>
  </si>
  <si>
    <t>QNplante0_Crop1</t>
  </si>
  <si>
    <t>magrain0_Crop1</t>
  </si>
  <si>
    <t>zrac0_Crop1</t>
  </si>
  <si>
    <t>densinitial_1_Crop1</t>
  </si>
  <si>
    <t>densinitial_2_Crop1</t>
  </si>
  <si>
    <t>densinitial_3_Crop1</t>
  </si>
  <si>
    <t>densinitial_4_Crop1</t>
  </si>
  <si>
    <t>densinitial_5_Crop1</t>
  </si>
  <si>
    <t>Soil_name</t>
  </si>
  <si>
    <t>argi</t>
  </si>
  <si>
    <t>norg</t>
  </si>
  <si>
    <t>calc</t>
  </si>
  <si>
    <t>pH</t>
  </si>
  <si>
    <t>albedo</t>
  </si>
  <si>
    <t>q0</t>
  </si>
  <si>
    <t>epc_1</t>
  </si>
  <si>
    <t>HCCF_1</t>
  </si>
  <si>
    <t>HMINF_1</t>
  </si>
  <si>
    <t>DAF_1</t>
  </si>
  <si>
    <t>epc_2</t>
  </si>
  <si>
    <t>HCCF_2</t>
  </si>
  <si>
    <t>HMINF_2</t>
  </si>
  <si>
    <t>DAF_2</t>
  </si>
  <si>
    <t>epc_3</t>
  </si>
  <si>
    <t>HCCF_3</t>
  </si>
  <si>
    <t>HMINF_3</t>
  </si>
  <si>
    <t>DAF_3</t>
  </si>
  <si>
    <t>epc_4</t>
  </si>
  <si>
    <t>HCCF_4</t>
  </si>
  <si>
    <t>HMINF_4</t>
  </si>
  <si>
    <t>DAF_4</t>
  </si>
  <si>
    <t>Tec_name</t>
  </si>
  <si>
    <t>iplt0</t>
  </si>
  <si>
    <t>profsem</t>
  </si>
  <si>
    <t>densitesem</t>
  </si>
  <si>
    <t>variete</t>
  </si>
  <si>
    <t>codestade</t>
  </si>
  <si>
    <t>ilev</t>
  </si>
  <si>
    <t>iamf</t>
  </si>
  <si>
    <t>ilax</t>
  </si>
  <si>
    <t>isen</t>
  </si>
  <si>
    <t>ilan</t>
  </si>
  <si>
    <t>iflo</t>
  </si>
  <si>
    <t>idrp</t>
  </si>
  <si>
    <t>imat</t>
  </si>
  <si>
    <t>irec</t>
  </si>
  <si>
    <t>irecbutoir</t>
  </si>
  <si>
    <t>effirr</t>
  </si>
  <si>
    <t>codecalirrig</t>
  </si>
  <si>
    <t>codedateappH2O</t>
  </si>
  <si>
    <t>codlocirrig</t>
  </si>
  <si>
    <t>locirrig</t>
  </si>
  <si>
    <t>profmes</t>
  </si>
  <si>
    <t>concirr</t>
  </si>
  <si>
    <t>codedateappN</t>
  </si>
  <si>
    <t>codefracappN</t>
  </si>
  <si>
    <t>Qtot_N</t>
  </si>
  <si>
    <t>codlocferti</t>
  </si>
  <si>
    <t>locferti</t>
  </si>
  <si>
    <t>ressuite</t>
  </si>
  <si>
    <t>cadencerec</t>
  </si>
  <si>
    <t>codrecolte</t>
  </si>
  <si>
    <t>nbjmaxapresrecolte</t>
  </si>
  <si>
    <t>codeffeuil</t>
  </si>
  <si>
    <t>codhauteff</t>
  </si>
  <si>
    <t>codcaleffeuil</t>
  </si>
  <si>
    <t>laidebeff</t>
  </si>
  <si>
    <t>effeuil</t>
  </si>
  <si>
    <t>juleffeuil</t>
  </si>
  <si>
    <t>laieffeuil</t>
  </si>
  <si>
    <t>Sta_name</t>
  </si>
  <si>
    <t>zr</t>
  </si>
  <si>
    <t>NH3ref</t>
  </si>
  <si>
    <t>latitude</t>
  </si>
  <si>
    <t>patm</t>
  </si>
  <si>
    <t>aclim</t>
  </si>
  <si>
    <t>codeetp</t>
  </si>
  <si>
    <t>alphapt</t>
  </si>
  <si>
    <t>codeclichange</t>
  </si>
  <si>
    <t>codaltitude</t>
  </si>
  <si>
    <t>altistation</t>
  </si>
  <si>
    <t>altisimul</t>
  </si>
  <si>
    <t>gradtn</t>
  </si>
  <si>
    <t>gradtx</t>
  </si>
  <si>
    <t>altinversion</t>
  </si>
  <si>
    <t>gradtninv</t>
  </si>
  <si>
    <t>cielclair</t>
  </si>
  <si>
    <t>codadret</t>
  </si>
  <si>
    <t>ombragetx</t>
  </si>
  <si>
    <t>ra</t>
  </si>
  <si>
    <t>albveg</t>
  </si>
  <si>
    <t>aangst</t>
  </si>
  <si>
    <t>bangst</t>
  </si>
  <si>
    <t>corecTrosee</t>
  </si>
  <si>
    <t>codecaltemp</t>
  </si>
  <si>
    <t>codernet</t>
  </si>
  <si>
    <t>coefdevil</t>
  </si>
  <si>
    <t>aks</t>
  </si>
  <si>
    <t>bks</t>
  </si>
  <si>
    <t>cvent</t>
  </si>
  <si>
    <t>phiv0</t>
  </si>
  <si>
    <t>coefrnet</t>
  </si>
  <si>
    <t>maperenne0_Crop1</t>
  </si>
  <si>
    <t>QNperenne0_Crop1</t>
  </si>
  <si>
    <t>masecnp0_Crop1</t>
  </si>
  <si>
    <t>QNplantenp0_Crop1</t>
  </si>
  <si>
    <t>profhum</t>
  </si>
  <si>
    <t>concseuil</t>
  </si>
  <si>
    <t>ruisolnu</t>
  </si>
  <si>
    <t>obstarac</t>
  </si>
  <si>
    <t>pluiebat</t>
  </si>
  <si>
    <t>mulchbat</t>
  </si>
  <si>
    <t>zesx</t>
  </si>
  <si>
    <t>cfes</t>
  </si>
  <si>
    <t>z0solnu</t>
  </si>
  <si>
    <t>finert</t>
  </si>
  <si>
    <t>penterui</t>
  </si>
  <si>
    <t>epc_5</t>
  </si>
  <si>
    <t>HCCF_5</t>
  </si>
  <si>
    <t>HMINF_5</t>
  </si>
  <si>
    <t>DAF_5</t>
  </si>
  <si>
    <t>cailloux_1</t>
  </si>
  <si>
    <t>typecailloux_1</t>
  </si>
  <si>
    <t>infil_1</t>
  </si>
  <si>
    <t>epd_1</t>
  </si>
  <si>
    <t>cailloux_2</t>
  </si>
  <si>
    <t>typecailloux_2</t>
  </si>
  <si>
    <t>infil_2</t>
  </si>
  <si>
    <t>epd_2</t>
  </si>
  <si>
    <t>cailloux_3</t>
  </si>
  <si>
    <t>typecailloux_3</t>
  </si>
  <si>
    <t>infil_3</t>
  </si>
  <si>
    <t>epd_3</t>
  </si>
  <si>
    <t>cailloux_4</t>
  </si>
  <si>
    <t>typecailloux_4</t>
  </si>
  <si>
    <t>infil_4</t>
  </si>
  <si>
    <t>epd_4</t>
  </si>
  <si>
    <t>cailloux_5</t>
  </si>
  <si>
    <t>typecailloux_5</t>
  </si>
  <si>
    <t>infil_5</t>
  </si>
  <si>
    <t>epd_5</t>
  </si>
  <si>
    <t>code_auto_profres</t>
  </si>
  <si>
    <t>codetradtec</t>
  </si>
  <si>
    <t>interrang</t>
  </si>
  <si>
    <t>orientrang</t>
  </si>
  <si>
    <t>codedecisemis</t>
  </si>
  <si>
    <t>nbjmaxapressemis</t>
  </si>
  <si>
    <t>nbjseuiltempref</t>
  </si>
  <si>
    <t>nbj_pr_apres_semis</t>
  </si>
  <si>
    <t>eau_mini_decisemis</t>
  </si>
  <si>
    <t>humirac_decisemis</t>
  </si>
  <si>
    <t>ratiol</t>
  </si>
  <si>
    <t>dosimx</t>
  </si>
  <si>
    <t>doseirrigmin</t>
  </si>
  <si>
    <t>codedate_irrigauto</t>
  </si>
  <si>
    <t>datedeb_irrigauto</t>
  </si>
  <si>
    <t>datefin_irrigauto</t>
  </si>
  <si>
    <t>stage_start_irrigauto</t>
  </si>
  <si>
    <t>stage_end_irrigauto</t>
  </si>
  <si>
    <t>code_autoressuite</t>
  </si>
  <si>
    <t>codeaumin</t>
  </si>
  <si>
    <t>h2ograinmin</t>
  </si>
  <si>
    <t>h2ograinmax</t>
  </si>
  <si>
    <t>sucrerec</t>
  </si>
  <si>
    <t>huilerec</t>
  </si>
  <si>
    <t>coderecolteassoc</t>
  </si>
  <si>
    <t>codedecirecolte</t>
  </si>
  <si>
    <t>codefauche</t>
  </si>
  <si>
    <t>code_hautfauche_dyn</t>
  </si>
  <si>
    <t>codetempfauche</t>
  </si>
  <si>
    <t>codemodfauche</t>
  </si>
  <si>
    <t>hautcoupedefaut</t>
  </si>
  <si>
    <t>stadecoupedf</t>
  </si>
  <si>
    <t>codepaillage</t>
  </si>
  <si>
    <t>couvermulchplastique</t>
  </si>
  <si>
    <t>albedomulchplastique</t>
  </si>
  <si>
    <t>largrogne</t>
  </si>
  <si>
    <t>hautrogne</t>
  </si>
  <si>
    <t>biorognem</t>
  </si>
  <si>
    <t>codcalrogne</t>
  </si>
  <si>
    <t>julrogne</t>
  </si>
  <si>
    <t>margerogne</t>
  </si>
  <si>
    <t>codeclaircie</t>
  </si>
  <si>
    <t>codetaille</t>
  </si>
  <si>
    <t>jultaille</t>
  </si>
  <si>
    <t>codepalissage</t>
  </si>
  <si>
    <t>hautmaxtec</t>
  </si>
  <si>
    <t>largtec</t>
  </si>
  <si>
    <t>codabri</t>
  </si>
  <si>
    <t>transplastic</t>
  </si>
  <si>
    <t>surfouvre1</t>
  </si>
  <si>
    <t>julouvre2</t>
  </si>
  <si>
    <t>surfouvre2</t>
  </si>
  <si>
    <t>julouvre3</t>
  </si>
  <si>
    <t>surfouvre3</t>
  </si>
  <si>
    <t>codejourdes</t>
  </si>
  <si>
    <t>juldes</t>
  </si>
  <si>
    <t>codeDST</t>
  </si>
  <si>
    <t>dachisel</t>
  </si>
  <si>
    <t>dalabour</t>
  </si>
  <si>
    <t>rugochisel</t>
  </si>
  <si>
    <t>rugolabour</t>
  </si>
  <si>
    <t>codeDSTtass</t>
  </si>
  <si>
    <t>profhumsemoir</t>
  </si>
  <si>
    <t>dasemis</t>
  </si>
  <si>
    <t>profhumrecolteuse</t>
  </si>
  <si>
    <t>darecolte</t>
  </si>
  <si>
    <t>codeDSTnbcouche</t>
  </si>
  <si>
    <t>resk</t>
  </si>
  <si>
    <t>resz</t>
  </si>
  <si>
    <t>concrr</t>
  </si>
  <si>
    <t>codecailloux</t>
  </si>
  <si>
    <t>codemacropor</t>
  </si>
  <si>
    <t>codefente</t>
  </si>
  <si>
    <t>codrainage</t>
  </si>
  <si>
    <t>profimper</t>
  </si>
  <si>
    <t>ecartdrain</t>
  </si>
  <si>
    <t>ksol</t>
  </si>
  <si>
    <t>profdrain</t>
  </si>
  <si>
    <t>coderemontcap</t>
  </si>
  <si>
    <t>codenitrif</t>
  </si>
  <si>
    <t>codedenit</t>
  </si>
  <si>
    <t>capiljour</t>
  </si>
  <si>
    <t>humcapil</t>
  </si>
  <si>
    <t>profdenit</t>
  </si>
  <si>
    <t>vpotdenit</t>
  </si>
  <si>
    <t>codrognage</t>
  </si>
  <si>
    <t>CNgrainrec</t>
  </si>
  <si>
    <t>Stubblevegratio</t>
  </si>
  <si>
    <t>CsurNsol</t>
  </si>
  <si>
    <t>code_acti_reserve_Crop1</t>
  </si>
  <si>
    <t>null</t>
  </si>
  <si>
    <t>codceuille</t>
  </si>
  <si>
    <t>nbceuille</t>
  </si>
  <si>
    <t>julres_1</t>
  </si>
  <si>
    <t>coderes_1</t>
  </si>
  <si>
    <t>qres_1</t>
  </si>
  <si>
    <t>Crespc_1</t>
  </si>
  <si>
    <t>CsurNres_1</t>
  </si>
  <si>
    <t>Nminres_1</t>
  </si>
  <si>
    <t>eaures_1</t>
  </si>
  <si>
    <t>julres_2</t>
  </si>
  <si>
    <t>coderes_2</t>
  </si>
  <si>
    <t>qres_2</t>
  </si>
  <si>
    <t>Crespc_2</t>
  </si>
  <si>
    <t>CsurNres_2</t>
  </si>
  <si>
    <t>Nminres_2</t>
  </si>
  <si>
    <t>eaures_2</t>
  </si>
  <si>
    <t>flo</t>
  </si>
  <si>
    <t>jultrav_1</t>
  </si>
  <si>
    <t>proftrav_1</t>
  </si>
  <si>
    <t>profres_1</t>
  </si>
  <si>
    <t>jultrav_2</t>
  </si>
  <si>
    <t>proftrav_2</t>
  </si>
  <si>
    <t>profres_2</t>
  </si>
  <si>
    <t>jultrav_3</t>
  </si>
  <si>
    <t>proftrav_3</t>
  </si>
  <si>
    <t>profres_3</t>
  </si>
  <si>
    <t>julapN_1</t>
  </si>
  <si>
    <t>engrais_1</t>
  </si>
  <si>
    <t>doseN_1</t>
  </si>
  <si>
    <t>restemp0_Crop1</t>
  </si>
  <si>
    <t>Sdepth0</t>
  </si>
  <si>
    <t>Sdry0</t>
  </si>
  <si>
    <t>Swet0</t>
  </si>
  <si>
    <t>ps0</t>
  </si>
  <si>
    <t>NO3initf_1</t>
  </si>
  <si>
    <t>NO3initf_2</t>
  </si>
  <si>
    <t>NO3initf_3</t>
  </si>
  <si>
    <t>NO3initf_4</t>
  </si>
  <si>
    <t>NO3initf_5</t>
  </si>
  <si>
    <t>NH4initf_1</t>
  </si>
  <si>
    <t>NH4initf_2</t>
  </si>
  <si>
    <t>NH4initf_3</t>
  </si>
  <si>
    <t>NH4initf_4</t>
  </si>
  <si>
    <t>NH4initf_5</t>
  </si>
  <si>
    <t>Hinitf_1</t>
  </si>
  <si>
    <t>Hinitf_2</t>
  </si>
  <si>
    <t>Hinitf_3</t>
  </si>
  <si>
    <t>Hinitf_4</t>
  </si>
  <si>
    <t>Hinitf_5</t>
  </si>
  <si>
    <t>wheat_plt.xml</t>
  </si>
  <si>
    <t>Wheat_2011_tec.xml</t>
  </si>
  <si>
    <t>Mons_sta.xml</t>
  </si>
  <si>
    <t>Mons.2010</t>
  </si>
  <si>
    <t>Mons.2011</t>
  </si>
  <si>
    <t>Mons</t>
  </si>
  <si>
    <t>snu</t>
  </si>
  <si>
    <t>julapN_2</t>
  </si>
  <si>
    <t>doseN_2</t>
  </si>
  <si>
    <t>engrais_2</t>
  </si>
  <si>
    <t>stubble+roots</t>
  </si>
  <si>
    <t>ian</t>
  </si>
  <si>
    <t>mo</t>
  </si>
  <si>
    <t>jo</t>
  </si>
  <si>
    <t>jul</t>
  </si>
  <si>
    <t>HR_1</t>
  </si>
  <si>
    <t>HR_2</t>
  </si>
  <si>
    <t>HR_3</t>
  </si>
  <si>
    <t>HR_4</t>
  </si>
  <si>
    <t>AZnit_1</t>
  </si>
  <si>
    <t>AZnit_2</t>
  </si>
  <si>
    <t>AZnit_3</t>
  </si>
  <si>
    <t>AZnit_4</t>
  </si>
  <si>
    <t>resmes</t>
  </si>
  <si>
    <t>azomes</t>
  </si>
  <si>
    <t>masecnp</t>
  </si>
  <si>
    <t>mafruit</t>
  </si>
  <si>
    <t>Wheat_2011</t>
  </si>
  <si>
    <t>Wheat_2011_ini.xml</t>
  </si>
  <si>
    <t>fobs_1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</si>
</sst>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0"/>
      <name val="Arial"/>
      <family val="2"/>
      <charset val="1"/>
    </font>
    <font>
      <sz val="8"/>
      <name val="Calibri"/>
      <family val="2"/>
      <charset val="1"/>
    </font>
    <font>
      <sz val="11"/>
      <name val="Calibri"/>
      <family val="2"/>
    </font>
    <font>
      <sz val="11"/>
      <color theme="5"/>
      <name val="Calibri"/>
      <family val="2"/>
      <charset val="1"/>
    </font>
    <font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5"/>
      <name val="Calibri"/>
      <family val="2"/>
    </font>
    <font>
      <sz val="11"/>
      <color rgb="FF7030A0"/>
      <name val="Calibri"/>
      <family val="2"/>
      <charset val="1"/>
    </font>
    <font>
      <sz val="11"/>
      <color rgb="FF7030A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E2F0D9"/>
        <bgColor rgb="FFEDEDED"/>
      </patternFill>
    </fill>
    <fill>
      <patternFill patternType="solid">
        <fgColor rgb="FFC5E0B4"/>
        <bgColor rgb="FFD0CECE"/>
      </patternFill>
    </fill>
    <fill>
      <patternFill patternType="solid">
        <fgColor rgb="FFA9D18E"/>
        <bgColor rgb="FFC5E0B4"/>
      </patternFill>
    </fill>
    <fill>
      <patternFill patternType="solid">
        <fgColor rgb="FFD0CECE"/>
        <bgColor rgb="FFD6DCE5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7C9C9"/>
      </patternFill>
    </fill>
    <fill>
      <patternFill patternType="solid">
        <fgColor rgb="FFDEEBF7"/>
        <bgColor rgb="FFDAE3F3"/>
      </patternFill>
    </fill>
    <fill>
      <patternFill patternType="solid">
        <fgColor theme="7" tint="0.79998168889431442"/>
        <bgColor rgb="FFC5E0B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E91FD"/>
        <bgColor indexed="64"/>
      </patternFill>
    </fill>
    <fill>
      <patternFill patternType="solid">
        <fgColor rgb="FFF999FB"/>
        <bgColor indexed="64"/>
      </patternFill>
    </fill>
    <fill>
      <patternFill patternType="solid">
        <fgColor rgb="FFF88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7C9C9"/>
        <bgColor indexed="64"/>
      </patternFill>
    </fill>
    <fill>
      <patternFill patternType="solid">
        <fgColor theme="6" tint="0.79998168889431442"/>
        <bgColor rgb="FFFFF2CC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1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2" borderId="2" xfId="0" applyFill="1" applyBorder="1"/>
    <xf numFmtId="0" fontId="0" fillId="6" borderId="3" xfId="0" applyFill="1" applyBorder="1"/>
    <xf numFmtId="0" fontId="0" fillId="6" borderId="2" xfId="0" applyFill="1" applyBorder="1"/>
    <xf numFmtId="0" fontId="0" fillId="0" borderId="4" xfId="0" applyBorder="1"/>
    <xf numFmtId="0" fontId="0" fillId="0" borderId="6" xfId="0" applyBorder="1"/>
    <xf numFmtId="0" fontId="6" fillId="0" borderId="0" xfId="0" applyFont="1"/>
    <xf numFmtId="0" fontId="6" fillId="0" borderId="0" xfId="0" applyFont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1" fontId="5" fillId="0" borderId="4" xfId="0" applyNumberFormat="1" applyFont="1" applyBorder="1"/>
    <xf numFmtId="0" fontId="5" fillId="0" borderId="0" xfId="0" applyFont="1"/>
    <xf numFmtId="0" fontId="5" fillId="0" borderId="4" xfId="0" applyFont="1" applyBorder="1"/>
    <xf numFmtId="0" fontId="7" fillId="0" borderId="0" xfId="0" applyFont="1"/>
    <xf numFmtId="0" fontId="7" fillId="0" borderId="4" xfId="0" applyFont="1" applyBorder="1"/>
    <xf numFmtId="0" fontId="8" fillId="3" borderId="3" xfId="0" applyFont="1" applyFill="1" applyBorder="1"/>
    <xf numFmtId="0" fontId="8" fillId="0" borderId="0" xfId="0" applyFont="1"/>
    <xf numFmtId="0" fontId="5" fillId="0" borderId="1" xfId="0" applyFont="1" applyBorder="1"/>
    <xf numFmtId="0" fontId="5" fillId="0" borderId="6" xfId="0" applyFont="1" applyBorder="1"/>
    <xf numFmtId="0" fontId="2" fillId="4" borderId="2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0" borderId="6" xfId="0" applyFont="1" applyBorder="1"/>
    <xf numFmtId="164" fontId="2" fillId="0" borderId="0" xfId="0" applyNumberFormat="1" applyFont="1"/>
    <xf numFmtId="0" fontId="8" fillId="0" borderId="4" xfId="0" applyFont="1" applyBorder="1"/>
    <xf numFmtId="0" fontId="7" fillId="10" borderId="3" xfId="0" applyFont="1" applyFill="1" applyBorder="1"/>
    <xf numFmtId="0" fontId="7" fillId="0" borderId="1" xfId="0" applyFont="1" applyBorder="1"/>
    <xf numFmtId="0" fontId="7" fillId="7" borderId="3" xfId="0" applyFont="1" applyFill="1" applyBorder="1"/>
    <xf numFmtId="0" fontId="7" fillId="11" borderId="3" xfId="0" applyFont="1" applyFill="1" applyBorder="1"/>
    <xf numFmtId="0" fontId="7" fillId="11" borderId="2" xfId="0" applyFont="1" applyFill="1" applyBorder="1"/>
    <xf numFmtId="0" fontId="0" fillId="12" borderId="7" xfId="0" applyFill="1" applyBorder="1" applyAlignment="1">
      <alignment horizontal="left" vertical="center"/>
    </xf>
    <xf numFmtId="0" fontId="0" fillId="12" borderId="8" xfId="0" applyFill="1" applyBorder="1" applyAlignment="1">
      <alignment horizontal="left" vertical="center"/>
    </xf>
    <xf numFmtId="0" fontId="0" fillId="13" borderId="8" xfId="0" applyFill="1" applyBorder="1" applyAlignment="1">
      <alignment horizontal="left" vertical="center"/>
    </xf>
    <xf numFmtId="0" fontId="0" fillId="14" borderId="8" xfId="0" applyFill="1" applyBorder="1" applyAlignment="1">
      <alignment horizontal="left" vertical="center"/>
    </xf>
    <xf numFmtId="0" fontId="0" fillId="15" borderId="7" xfId="0" applyFill="1" applyBorder="1" applyAlignment="1">
      <alignment horizontal="left" vertical="center"/>
    </xf>
    <xf numFmtId="0" fontId="0" fillId="15" borderId="8" xfId="0" applyFill="1" applyBorder="1" applyAlignment="1">
      <alignment horizontal="left" vertical="center"/>
    </xf>
    <xf numFmtId="0" fontId="0" fillId="14" borderId="7" xfId="0" applyFill="1" applyBorder="1" applyAlignment="1">
      <alignment horizontal="left" vertical="center"/>
    </xf>
    <xf numFmtId="0" fontId="0" fillId="16" borderId="7" xfId="0" applyFill="1" applyBorder="1" applyAlignment="1">
      <alignment horizontal="left" vertical="center"/>
    </xf>
    <xf numFmtId="0" fontId="0" fillId="16" borderId="8" xfId="0" applyFill="1" applyBorder="1" applyAlignment="1">
      <alignment horizontal="left" vertical="center"/>
    </xf>
    <xf numFmtId="0" fontId="0" fillId="17" borderId="7" xfId="0" applyFill="1" applyBorder="1" applyAlignment="1">
      <alignment horizontal="left" vertical="center"/>
    </xf>
    <xf numFmtId="0" fontId="0" fillId="17" borderId="8" xfId="0" applyFill="1" applyBorder="1" applyAlignment="1">
      <alignment horizontal="left" vertical="center"/>
    </xf>
    <xf numFmtId="0" fontId="0" fillId="16" borderId="3" xfId="0" applyFill="1" applyBorder="1" applyAlignment="1">
      <alignment horizontal="left" vertical="center"/>
    </xf>
    <xf numFmtId="1" fontId="8" fillId="0" borderId="0" xfId="0" applyNumberFormat="1" applyFont="1"/>
    <xf numFmtId="0" fontId="0" fillId="19" borderId="3" xfId="0" applyFill="1" applyBorder="1" applyAlignment="1">
      <alignment horizontal="left" vertical="center"/>
    </xf>
    <xf numFmtId="0" fontId="0" fillId="20" borderId="3" xfId="0" applyFill="1" applyBorder="1" applyAlignment="1">
      <alignment horizontal="left" vertical="center"/>
    </xf>
    <xf numFmtId="0" fontId="0" fillId="21" borderId="3" xfId="0" applyFill="1" applyBorder="1" applyAlignment="1">
      <alignment horizontal="left" vertical="center"/>
    </xf>
    <xf numFmtId="0" fontId="0" fillId="22" borderId="3" xfId="0" applyFill="1" applyBorder="1" applyAlignment="1">
      <alignment horizontal="left" vertical="center"/>
    </xf>
    <xf numFmtId="0" fontId="0" fillId="14" borderId="3" xfId="0" applyFill="1" applyBorder="1"/>
    <xf numFmtId="0" fontId="0" fillId="14" borderId="2" xfId="0" applyFill="1" applyBorder="1"/>
    <xf numFmtId="0" fontId="0" fillId="17" borderId="3" xfId="0" applyFill="1" applyBorder="1"/>
    <xf numFmtId="0" fontId="12" fillId="17" borderId="3" xfId="0" applyFont="1" applyFill="1" applyBorder="1"/>
    <xf numFmtId="0" fontId="0" fillId="16" borderId="3" xfId="0" applyFill="1" applyBorder="1"/>
    <xf numFmtId="0" fontId="0" fillId="27" borderId="3" xfId="0" applyFill="1" applyBorder="1"/>
    <xf numFmtId="0" fontId="0" fillId="27" borderId="2" xfId="0" applyFill="1" applyBorder="1"/>
    <xf numFmtId="0" fontId="2" fillId="27" borderId="2" xfId="0" applyFont="1" applyFill="1" applyBorder="1"/>
    <xf numFmtId="0" fontId="2" fillId="27" borderId="3" xfId="0" applyFont="1" applyFill="1" applyBorder="1"/>
    <xf numFmtId="1" fontId="2" fillId="0" borderId="4" xfId="0" applyNumberFormat="1" applyFont="1" applyBorder="1"/>
    <xf numFmtId="0" fontId="2" fillId="19" borderId="3" xfId="0" applyFont="1" applyFill="1" applyBorder="1"/>
    <xf numFmtId="0" fontId="2" fillId="19" borderId="2" xfId="0" applyFont="1" applyFill="1" applyBorder="1"/>
    <xf numFmtId="0" fontId="0" fillId="13" borderId="3" xfId="0" applyFill="1" applyBorder="1"/>
    <xf numFmtId="0" fontId="0" fillId="13" borderId="2" xfId="0" applyFill="1" applyBorder="1"/>
    <xf numFmtId="0" fontId="2" fillId="13" borderId="3" xfId="0" applyFont="1" applyFill="1" applyBorder="1"/>
    <xf numFmtId="0" fontId="2" fillId="13" borderId="2" xfId="0" applyFont="1" applyFill="1" applyBorder="1"/>
    <xf numFmtId="0" fontId="2" fillId="7" borderId="3" xfId="0" applyFont="1" applyFill="1" applyBorder="1"/>
    <xf numFmtId="0" fontId="0" fillId="18" borderId="3" xfId="0" applyFill="1" applyBorder="1"/>
    <xf numFmtId="0" fontId="0" fillId="18" borderId="2" xfId="0" applyFill="1" applyBorder="1"/>
    <xf numFmtId="0" fontId="2" fillId="18" borderId="3" xfId="0" applyFont="1" applyFill="1" applyBorder="1"/>
    <xf numFmtId="0" fontId="2" fillId="18" borderId="2" xfId="0" applyFont="1" applyFill="1" applyBorder="1"/>
    <xf numFmtId="0" fontId="7" fillId="7" borderId="2" xfId="0" applyFont="1" applyFill="1" applyBorder="1"/>
    <xf numFmtId="0" fontId="2" fillId="32" borderId="3" xfId="0" applyFont="1" applyFill="1" applyBorder="1"/>
    <xf numFmtId="0" fontId="2" fillId="32" borderId="2" xfId="0" applyFont="1" applyFill="1" applyBorder="1"/>
    <xf numFmtId="0" fontId="0" fillId="34" borderId="3" xfId="0" applyFill="1" applyBorder="1"/>
    <xf numFmtId="0" fontId="0" fillId="34" borderId="2" xfId="0" applyFill="1" applyBorder="1"/>
    <xf numFmtId="0" fontId="0" fillId="33" borderId="5" xfId="0" applyFill="1" applyBorder="1"/>
    <xf numFmtId="0" fontId="2" fillId="17" borderId="3" xfId="0" applyFont="1" applyFill="1" applyBorder="1"/>
    <xf numFmtId="0" fontId="2" fillId="17" borderId="2" xfId="0" applyFont="1" applyFill="1" applyBorder="1"/>
    <xf numFmtId="0" fontId="2" fillId="31" borderId="3" xfId="0" applyFont="1" applyFill="1" applyBorder="1"/>
    <xf numFmtId="0" fontId="2" fillId="31" borderId="2" xfId="0" applyFont="1" applyFill="1" applyBorder="1"/>
    <xf numFmtId="0" fontId="2" fillId="29" borderId="3" xfId="0" applyFont="1" applyFill="1" applyBorder="1"/>
    <xf numFmtId="0" fontId="2" fillId="29" borderId="2" xfId="0" applyFont="1" applyFill="1" applyBorder="1"/>
    <xf numFmtId="0" fontId="2" fillId="16" borderId="5" xfId="0" applyFont="1" applyFill="1" applyBorder="1"/>
    <xf numFmtId="0" fontId="2" fillId="26" borderId="5" xfId="0" applyFont="1" applyFill="1" applyBorder="1"/>
    <xf numFmtId="0" fontId="2" fillId="22" borderId="3" xfId="0" applyFont="1" applyFill="1" applyBorder="1"/>
    <xf numFmtId="0" fontId="2" fillId="22" borderId="2" xfId="0" applyFont="1" applyFill="1" applyBorder="1"/>
    <xf numFmtId="0" fontId="2" fillId="35" borderId="3" xfId="0" applyFont="1" applyFill="1" applyBorder="1"/>
    <xf numFmtId="0" fontId="2" fillId="35" borderId="2" xfId="0" applyFont="1" applyFill="1" applyBorder="1"/>
    <xf numFmtId="1" fontId="5" fillId="0" borderId="0" xfId="0" applyNumberFormat="1" applyFont="1"/>
    <xf numFmtId="0" fontId="0" fillId="36" borderId="3" xfId="0" applyFill="1" applyBorder="1"/>
    <xf numFmtId="0" fontId="0" fillId="36" borderId="2" xfId="0" applyFill="1" applyBorder="1"/>
    <xf numFmtId="164" fontId="2" fillId="0" borderId="4" xfId="0" applyNumberFormat="1" applyFont="1" applyBorder="1"/>
    <xf numFmtId="0" fontId="0" fillId="18" borderId="2" xfId="0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20" borderId="2" xfId="0" applyFill="1" applyBorder="1" applyAlignment="1">
      <alignment horizontal="left" vertical="center"/>
    </xf>
    <xf numFmtId="0" fontId="5" fillId="7" borderId="3" xfId="0" applyFont="1" applyFill="1" applyBorder="1"/>
    <xf numFmtId="164" fontId="0" fillId="0" borderId="0" xfId="0" applyNumberFormat="1"/>
    <xf numFmtId="165" fontId="8" fillId="0" borderId="0" xfId="0" applyNumberFormat="1" applyFont="1"/>
    <xf numFmtId="0" fontId="11" fillId="26" borderId="8" xfId="0" applyFont="1" applyFill="1" applyBorder="1" applyAlignment="1">
      <alignment horizontal="center" vertical="center" wrapText="1"/>
    </xf>
    <xf numFmtId="0" fontId="0" fillId="37" borderId="3" xfId="0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8" xfId="0" applyFont="1" applyFill="1" applyBorder="1" applyAlignment="1">
      <alignment horizontal="left" vertical="center"/>
    </xf>
    <xf numFmtId="0" fontId="11" fillId="23" borderId="7" xfId="0" applyFont="1" applyFill="1" applyBorder="1" applyAlignment="1">
      <alignment horizontal="center" vertical="center" wrapText="1"/>
    </xf>
    <xf numFmtId="0" fontId="11" fillId="23" borderId="8" xfId="0" applyFont="1" applyFill="1" applyBorder="1" applyAlignment="1">
      <alignment horizontal="center" vertical="center" wrapText="1"/>
    </xf>
    <xf numFmtId="0" fontId="11" fillId="24" borderId="8" xfId="0" applyFont="1" applyFill="1" applyBorder="1" applyAlignment="1">
      <alignment horizontal="center" vertical="center" wrapText="1"/>
    </xf>
    <xf numFmtId="0" fontId="11" fillId="25" borderId="8" xfId="0" applyFont="1" applyFill="1" applyBorder="1" applyAlignment="1">
      <alignment horizontal="center" vertical="center" wrapText="1"/>
    </xf>
    <xf numFmtId="0" fontId="11" fillId="16" borderId="8" xfId="0" applyFont="1" applyFill="1" applyBorder="1" applyAlignment="1">
      <alignment horizontal="center" vertical="center" wrapText="1"/>
    </xf>
    <xf numFmtId="0" fontId="11" fillId="26" borderId="7" xfId="0" applyFont="1" applyFill="1" applyBorder="1" applyAlignment="1">
      <alignment horizontal="center" vertical="center" wrapText="1"/>
    </xf>
    <xf numFmtId="0" fontId="11" fillId="27" borderId="7" xfId="0" applyFont="1" applyFill="1" applyBorder="1" applyAlignment="1">
      <alignment horizontal="center" vertical="center" wrapText="1"/>
    </xf>
    <xf numFmtId="0" fontId="11" fillId="27" borderId="8" xfId="0" applyFont="1" applyFill="1" applyBorder="1" applyAlignment="1">
      <alignment horizontal="center" vertical="center" wrapText="1"/>
    </xf>
    <xf numFmtId="0" fontId="11" fillId="28" borderId="8" xfId="0" applyFont="1" applyFill="1" applyBorder="1" applyAlignment="1">
      <alignment horizontal="center" vertical="center" wrapText="1"/>
    </xf>
    <xf numFmtId="0" fontId="11" fillId="29" borderId="7" xfId="0" applyFont="1" applyFill="1" applyBorder="1" applyAlignment="1">
      <alignment horizontal="center" vertical="center" wrapText="1"/>
    </xf>
    <xf numFmtId="0" fontId="11" fillId="29" borderId="8" xfId="0" applyFont="1" applyFill="1" applyBorder="1" applyAlignment="1">
      <alignment horizontal="center" vertical="center" wrapText="1"/>
    </xf>
    <xf numFmtId="0" fontId="5" fillId="18" borderId="7" xfId="0" applyFont="1" applyFill="1" applyBorder="1" applyAlignment="1">
      <alignment horizontal="center" vertical="center" wrapText="1"/>
    </xf>
    <xf numFmtId="0" fontId="5" fillId="18" borderId="8" xfId="0" applyFont="1" applyFill="1" applyBorder="1" applyAlignment="1">
      <alignment horizontal="center" vertical="center" wrapText="1"/>
    </xf>
    <xf numFmtId="0" fontId="5" fillId="30" borderId="7" xfId="0" applyFont="1" applyFill="1" applyBorder="1" applyAlignment="1">
      <alignment horizontal="center" vertical="center" wrapText="1"/>
    </xf>
    <xf numFmtId="0" fontId="5" fillId="30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9" borderId="3" xfId="0" applyFont="1" applyFill="1" applyBorder="1"/>
    <xf numFmtId="0" fontId="2" fillId="12" borderId="9" xfId="0" applyFont="1" applyFill="1" applyBorder="1"/>
    <xf numFmtId="0" fontId="2" fillId="12" borderId="3" xfId="0" applyFont="1" applyFill="1" applyBorder="1"/>
    <xf numFmtId="0" fontId="2" fillId="12" borderId="2" xfId="0" applyFont="1" applyFill="1" applyBorder="1"/>
    <xf numFmtId="0" fontId="2" fillId="5" borderId="3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1" fontId="2" fillId="0" borderId="0" xfId="0" applyNumberFormat="1" applyFont="1"/>
    <xf numFmtId="0" fontId="2" fillId="38" borderId="3" xfId="0" applyFont="1" applyFill="1" applyBorder="1"/>
    <xf numFmtId="0" fontId="2" fillId="38" borderId="2" xfId="0" applyFont="1" applyFill="1" applyBorder="1"/>
    <xf numFmtId="0" fontId="6" fillId="0" borderId="6" xfId="0" applyFont="1" applyBorder="1"/>
    <xf numFmtId="0" fontId="13" fillId="0" borderId="1" xfId="0" applyFont="1" applyBorder="1"/>
    <xf numFmtId="0" fontId="6" fillId="0" borderId="4" xfId="0" applyFont="1" applyBorder="1"/>
    <xf numFmtId="0" fontId="5" fillId="17" borderId="3" xfId="0" applyFont="1" applyFill="1" applyBorder="1"/>
    <xf numFmtId="166" fontId="0" fillId="0" borderId="0" xfId="0" applyNumberFormat="1"/>
    <xf numFmtId="0" fontId="14" fillId="0" borderId="0" xfId="1" applyFont="1"/>
    <xf numFmtId="1" fontId="0" fillId="0" borderId="4" xfId="0" applyNumberFormat="1" applyBorder="1"/>
    <xf numFmtId="1" fontId="0" fillId="0" borderId="6" xfId="0" applyNumberFormat="1" applyBorder="1"/>
    <xf numFmtId="1" fontId="0" fillId="0" borderId="0" xfId="0" applyNumberFormat="1"/>
    <xf numFmtId="2" fontId="0" fillId="0" borderId="4" xfId="0" applyNumberFormat="1" applyBorder="1"/>
    <xf numFmtId="0" fontId="1" fillId="0" borderId="0" xfId="1"/>
    <xf numFmtId="0" fontId="15" fillId="0" borderId="0" xfId="1" applyFont="1"/>
    <xf numFmtId="2" fontId="15" fillId="0" borderId="0" xfId="1" applyNumberFormat="1" applyFont="1"/>
    <xf numFmtId="0" fontId="13" fillId="0" borderId="0" xfId="0" applyFont="1"/>
  </cellXfs>
  <cellStyles count="2">
    <cellStyle name="Normal" xfId="0" builtinId="0"/>
    <cellStyle name="Normal 2" xfId="1" xr:uid="{D57D3DDF-B3D7-4D8D-96F2-26D990720F47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C5E0B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EDEDED"/>
      <rgbColor rgb="FF9E91FD"/>
      <rgbColor rgb="FF993366"/>
      <rgbColor rgb="FFFFF2CC"/>
      <rgbColor rgb="FFDEEBF7"/>
      <rgbColor rgb="FF660066"/>
      <rgbColor rgb="FFF4B183"/>
      <rgbColor rgb="FF0066CC"/>
      <rgbColor rgb="FFB4C7E7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E699"/>
      <rgbColor rgb="FF9DC3E6"/>
      <rgbColor rgb="FFF88CCC"/>
      <rgbColor rgb="FFD0CECE"/>
      <rgbColor rgb="FFF8CBAD"/>
      <rgbColor rgb="FF3366FF"/>
      <rgbColor rgb="FFD6DCE5"/>
      <rgbColor rgb="FFA9D18E"/>
      <rgbColor rgb="FFFFD966"/>
      <rgbColor rgb="FFF7C9C9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4586-98C6-4D87-B68C-EE6F4E5A0D8E}">
  <dimension ref="A1:R10"/>
  <sheetViews>
    <sheetView workbookViewId="0">
      <selection activeCell="M19" sqref="M19"/>
    </sheetView>
  </sheetViews>
  <sheetFormatPr defaultColWidth="11.5546875" defaultRowHeight="14.4" x14ac:dyDescent="0.3"/>
  <cols>
    <col min="1" max="1" width="11.44140625" bestFit="1" customWidth="1"/>
    <col min="2" max="2" width="9.33203125" bestFit="1" customWidth="1"/>
    <col min="3" max="3" width="6.77734375" bestFit="1" customWidth="1"/>
    <col min="4" max="4" width="17.88671875" bestFit="1" customWidth="1"/>
    <col min="5" max="5" width="7" bestFit="1" customWidth="1"/>
    <col min="6" max="6" width="12.44140625" bestFit="1" customWidth="1"/>
    <col min="7" max="8" width="10.109375" bestFit="1" customWidth="1"/>
    <col min="9" max="9" width="8.6640625" bestFit="1" customWidth="1"/>
    <col min="10" max="10" width="8.88671875" bestFit="1" customWidth="1"/>
    <col min="11" max="11" width="9.21875" bestFit="1" customWidth="1"/>
    <col min="12" max="12" width="12.6640625" bestFit="1" customWidth="1"/>
    <col min="13" max="13" width="18.5546875" bestFit="1" customWidth="1"/>
    <col min="14" max="14" width="5.5546875" bestFit="1" customWidth="1"/>
    <col min="15" max="15" width="11.44140625" bestFit="1" customWidth="1"/>
    <col min="16" max="16" width="5.77734375" bestFit="1" customWidth="1"/>
    <col min="17" max="17" width="6.21875" bestFit="1" customWidth="1"/>
    <col min="18" max="18" width="5.5546875" bestFit="1" customWidth="1"/>
  </cols>
  <sheetData>
    <row r="1" spans="1:18" s="3" customFormat="1" ht="15" thickBot="1" x14ac:dyDescent="0.35">
      <c r="A1" s="2" t="s">
        <v>0</v>
      </c>
      <c r="B1" s="40" t="s">
        <v>1</v>
      </c>
      <c r="C1" s="41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6" t="s">
        <v>8</v>
      </c>
      <c r="J1" s="46" t="s">
        <v>9</v>
      </c>
      <c r="K1" s="43" t="s">
        <v>10</v>
      </c>
      <c r="L1" s="47" t="s">
        <v>11</v>
      </c>
      <c r="M1" s="47" t="s">
        <v>12</v>
      </c>
      <c r="N1" s="47" t="s">
        <v>13</v>
      </c>
      <c r="O1" s="48" t="s">
        <v>331</v>
      </c>
      <c r="P1" s="49" t="s">
        <v>14</v>
      </c>
      <c r="Q1" s="49" t="s">
        <v>15</v>
      </c>
      <c r="R1" s="50" t="s">
        <v>16</v>
      </c>
    </row>
    <row r="2" spans="1:18" x14ac:dyDescent="0.3">
      <c r="A2" s="4" t="s">
        <v>329</v>
      </c>
      <c r="B2">
        <v>203</v>
      </c>
      <c r="C2" s="9">
        <v>579</v>
      </c>
      <c r="D2" s="10" t="s">
        <v>330</v>
      </c>
      <c r="E2" s="10" t="s">
        <v>307</v>
      </c>
      <c r="F2" t="s">
        <v>304</v>
      </c>
      <c r="G2" t="s">
        <v>305</v>
      </c>
      <c r="H2" s="9" t="s">
        <v>306</v>
      </c>
      <c r="I2">
        <v>2</v>
      </c>
      <c r="J2">
        <v>1</v>
      </c>
      <c r="K2" s="9">
        <v>0</v>
      </c>
      <c r="L2" t="s">
        <v>302</v>
      </c>
      <c r="M2" s="21" t="s">
        <v>303</v>
      </c>
      <c r="N2" t="s">
        <v>252</v>
      </c>
      <c r="O2" s="146" t="s">
        <v>329</v>
      </c>
      <c r="P2" s="9" t="s">
        <v>252</v>
      </c>
      <c r="Q2" s="9" t="s">
        <v>252</v>
      </c>
      <c r="R2" s="9" t="s">
        <v>252</v>
      </c>
    </row>
    <row r="3" spans="1:18" x14ac:dyDescent="0.3">
      <c r="A3" s="4"/>
      <c r="C3" s="9"/>
      <c r="D3" s="10"/>
      <c r="E3" s="10"/>
      <c r="H3" s="9"/>
      <c r="K3" s="9"/>
      <c r="M3" s="21"/>
      <c r="N3" s="15"/>
      <c r="O3" s="9"/>
      <c r="P3" s="9"/>
      <c r="Q3" s="9"/>
      <c r="R3" s="9"/>
    </row>
    <row r="4" spans="1:18" x14ac:dyDescent="0.3">
      <c r="A4" s="4"/>
      <c r="C4" s="9"/>
      <c r="D4" s="10"/>
      <c r="E4" s="10"/>
      <c r="H4" s="9"/>
      <c r="K4" s="9"/>
      <c r="M4" s="138"/>
      <c r="N4" s="150"/>
      <c r="O4" s="9"/>
      <c r="P4" s="9"/>
      <c r="Q4" s="9"/>
      <c r="R4" s="9"/>
    </row>
    <row r="5" spans="1:18" x14ac:dyDescent="0.3">
      <c r="A5" s="4"/>
      <c r="C5" s="9"/>
      <c r="D5" s="10"/>
      <c r="E5" s="10"/>
      <c r="H5" s="9"/>
      <c r="K5" s="9"/>
      <c r="M5" s="138"/>
      <c r="N5" s="150"/>
      <c r="O5" s="9"/>
      <c r="P5" s="9"/>
      <c r="Q5" s="9"/>
      <c r="R5" s="9"/>
    </row>
    <row r="6" spans="1:18" x14ac:dyDescent="0.3">
      <c r="A6" s="4"/>
      <c r="C6" s="9"/>
      <c r="D6" s="10"/>
      <c r="E6" s="10"/>
      <c r="H6" s="9"/>
      <c r="K6" s="9"/>
      <c r="M6" s="138"/>
      <c r="N6" s="150"/>
      <c r="O6" s="9"/>
      <c r="P6" s="9"/>
      <c r="Q6" s="9"/>
      <c r="R6" s="9"/>
    </row>
    <row r="7" spans="1:18" x14ac:dyDescent="0.3">
      <c r="A7" s="4"/>
      <c r="C7" s="9"/>
      <c r="D7" s="137"/>
      <c r="E7" s="137"/>
      <c r="H7" s="9"/>
      <c r="K7" s="9"/>
      <c r="M7" s="21"/>
      <c r="N7" s="15"/>
      <c r="O7" s="9"/>
      <c r="P7" s="9"/>
      <c r="Q7" s="9"/>
      <c r="R7" s="9"/>
    </row>
    <row r="8" spans="1:18" x14ac:dyDescent="0.3">
      <c r="A8" s="4"/>
      <c r="C8" s="9"/>
      <c r="D8" s="137"/>
      <c r="E8" s="137"/>
      <c r="H8" s="9"/>
      <c r="K8" s="9"/>
      <c r="M8" s="21"/>
      <c r="N8" s="15"/>
      <c r="O8" s="9"/>
      <c r="P8" s="9"/>
      <c r="Q8" s="9"/>
      <c r="R8" s="9"/>
    </row>
    <row r="9" spans="1:18" x14ac:dyDescent="0.3">
      <c r="A9" s="4"/>
    </row>
    <row r="10" spans="1:18" x14ac:dyDescent="0.3">
      <c r="A10" s="4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3"/>
  <sheetViews>
    <sheetView zoomScaleNormal="100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AA4" sqref="AA4"/>
    </sheetView>
  </sheetViews>
  <sheetFormatPr defaultColWidth="8.88671875" defaultRowHeight="14.4" x14ac:dyDescent="0.3"/>
  <cols>
    <col min="1" max="1" width="18" style="31" bestFit="1" customWidth="1"/>
    <col min="2" max="2" width="8.88671875" style="31" bestFit="1" customWidth="1"/>
    <col min="3" max="3" width="12.33203125" style="31" bestFit="1" customWidth="1"/>
    <col min="4" max="4" width="9.77734375" style="29" bestFit="1" customWidth="1"/>
    <col min="5" max="5" width="11.21875" style="29" bestFit="1" customWidth="1"/>
    <col min="6" max="6" width="14.44140625" style="29" bestFit="1" customWidth="1"/>
    <col min="7" max="7" width="22.109375" style="20" bestFit="1" customWidth="1"/>
    <col min="8" max="8" width="17.21875" style="20" bestFit="1" customWidth="1"/>
    <col min="9" max="9" width="17.33203125" style="20" bestFit="1" customWidth="1"/>
    <col min="10" max="10" width="15.109375" style="20" bestFit="1" customWidth="1"/>
    <col min="11" max="11" width="17.77734375" style="20" bestFit="1" customWidth="1"/>
    <col min="12" max="12" width="13.109375" style="20" bestFit="1" customWidth="1"/>
    <col min="13" max="13" width="15.6640625" style="20" bestFit="1" customWidth="1"/>
    <col min="14" max="14" width="14.5546875" style="34" bestFit="1" customWidth="1"/>
    <col min="15" max="18" width="17.21875" style="29" bestFit="1" customWidth="1"/>
    <col min="19" max="19" width="17.21875" style="31" bestFit="1" customWidth="1"/>
    <col min="20" max="23" width="7.44140625" style="29" bestFit="1" customWidth="1"/>
    <col min="24" max="24" width="7.44140625" style="31" bestFit="1" customWidth="1"/>
    <col min="25" max="28" width="9.88671875" style="29" customWidth="1"/>
    <col min="29" max="29" width="9.88671875" style="31" customWidth="1"/>
    <col min="30" max="33" width="9.77734375" style="29" bestFit="1" customWidth="1"/>
    <col min="34" max="34" width="9.77734375" style="31" bestFit="1" customWidth="1"/>
    <col min="35" max="35" width="7.5546875" style="29" bestFit="1" customWidth="1"/>
    <col min="36" max="36" width="5.44140625" style="29" bestFit="1" customWidth="1"/>
    <col min="37" max="37" width="6" style="29" bestFit="1" customWidth="1"/>
    <col min="38" max="38" width="3.77734375" style="29" bestFit="1" customWidth="1"/>
    <col min="39" max="1008" width="10.5546875" style="29" customWidth="1"/>
    <col min="1009" max="1020" width="9.109375" style="29" customWidth="1"/>
    <col min="1021" max="16384" width="8.88671875" style="29"/>
  </cols>
  <sheetData>
    <row r="1" spans="1:38" ht="15" thickBot="1" x14ac:dyDescent="0.35">
      <c r="A1" s="13" t="s">
        <v>17</v>
      </c>
      <c r="B1" s="23" t="s">
        <v>9</v>
      </c>
      <c r="C1" s="100" t="s">
        <v>18</v>
      </c>
      <c r="D1" s="51" t="s">
        <v>19</v>
      </c>
      <c r="E1" s="51" t="s">
        <v>23</v>
      </c>
      <c r="F1" s="51" t="s">
        <v>22</v>
      </c>
      <c r="G1" s="132" t="s">
        <v>251</v>
      </c>
      <c r="H1" s="132" t="s">
        <v>123</v>
      </c>
      <c r="I1" s="132" t="s">
        <v>124</v>
      </c>
      <c r="J1" s="132" t="s">
        <v>125</v>
      </c>
      <c r="K1" s="132" t="s">
        <v>126</v>
      </c>
      <c r="L1" s="132" t="s">
        <v>20</v>
      </c>
      <c r="M1" s="132" t="s">
        <v>21</v>
      </c>
      <c r="N1" s="133" t="s">
        <v>282</v>
      </c>
      <c r="O1" s="53" t="s">
        <v>24</v>
      </c>
      <c r="P1" s="24" t="s">
        <v>25</v>
      </c>
      <c r="Q1" s="24" t="s">
        <v>26</v>
      </c>
      <c r="R1" s="24" t="s">
        <v>27</v>
      </c>
      <c r="S1" s="25" t="s">
        <v>28</v>
      </c>
      <c r="T1" s="54" t="s">
        <v>297</v>
      </c>
      <c r="U1" s="54" t="s">
        <v>298</v>
      </c>
      <c r="V1" s="54" t="s">
        <v>299</v>
      </c>
      <c r="W1" s="54" t="s">
        <v>300</v>
      </c>
      <c r="X1" s="102" t="s">
        <v>301</v>
      </c>
      <c r="Y1" s="55" t="s">
        <v>287</v>
      </c>
      <c r="Z1" s="26" t="s">
        <v>288</v>
      </c>
      <c r="AA1" s="26" t="s">
        <v>289</v>
      </c>
      <c r="AB1" s="26" t="s">
        <v>290</v>
      </c>
      <c r="AC1" s="13" t="s">
        <v>291</v>
      </c>
      <c r="AD1" s="56" t="s">
        <v>292</v>
      </c>
      <c r="AE1" s="27" t="s">
        <v>293</v>
      </c>
      <c r="AF1" s="27" t="s">
        <v>294</v>
      </c>
      <c r="AG1" s="27" t="s">
        <v>295</v>
      </c>
      <c r="AH1" s="28" t="s">
        <v>296</v>
      </c>
      <c r="AI1" s="129" t="s">
        <v>283</v>
      </c>
      <c r="AJ1" s="130" t="s">
        <v>284</v>
      </c>
      <c r="AK1" s="130" t="s">
        <v>285</v>
      </c>
      <c r="AL1" s="131" t="s">
        <v>286</v>
      </c>
    </row>
    <row r="2" spans="1:38" x14ac:dyDescent="0.3">
      <c r="A2" s="31" t="s">
        <v>330</v>
      </c>
      <c r="B2" s="31">
        <v>1</v>
      </c>
      <c r="C2" s="31" t="s">
        <v>308</v>
      </c>
      <c r="D2" s="29">
        <v>0</v>
      </c>
      <c r="E2" s="29">
        <v>0</v>
      </c>
      <c r="F2" s="29">
        <v>0</v>
      </c>
      <c r="G2" s="29">
        <v>2</v>
      </c>
      <c r="H2" s="29">
        <v>0</v>
      </c>
      <c r="I2" s="29">
        <v>0</v>
      </c>
      <c r="J2" s="29">
        <v>0</v>
      </c>
      <c r="K2" s="29">
        <v>0</v>
      </c>
      <c r="L2" s="29">
        <v>0</v>
      </c>
      <c r="M2" s="134">
        <v>0</v>
      </c>
      <c r="N2" s="31">
        <v>0</v>
      </c>
      <c r="O2" s="29">
        <v>0</v>
      </c>
      <c r="P2" s="29">
        <v>0</v>
      </c>
      <c r="Q2" s="29">
        <v>0</v>
      </c>
      <c r="R2" s="29">
        <v>0</v>
      </c>
      <c r="S2" s="31">
        <v>0</v>
      </c>
      <c r="T2" s="29">
        <v>10</v>
      </c>
      <c r="U2" s="29">
        <v>10</v>
      </c>
      <c r="V2" s="29">
        <v>15</v>
      </c>
      <c r="W2" s="29">
        <v>22.5</v>
      </c>
      <c r="X2" s="31">
        <v>22.91</v>
      </c>
      <c r="Y2" s="33">
        <v>5</v>
      </c>
      <c r="Z2" s="33">
        <v>5</v>
      </c>
      <c r="AA2" s="33">
        <v>5</v>
      </c>
      <c r="AB2" s="33">
        <v>15</v>
      </c>
      <c r="AC2" s="99">
        <v>15</v>
      </c>
      <c r="AD2" s="33">
        <v>0</v>
      </c>
      <c r="AE2" s="33">
        <v>0</v>
      </c>
      <c r="AF2" s="33">
        <v>0</v>
      </c>
      <c r="AG2" s="33">
        <v>0</v>
      </c>
      <c r="AH2" s="99">
        <v>0</v>
      </c>
      <c r="AI2" s="29">
        <v>0</v>
      </c>
      <c r="AJ2" s="29">
        <v>0</v>
      </c>
      <c r="AK2" s="29">
        <v>0</v>
      </c>
      <c r="AL2" s="31">
        <v>0</v>
      </c>
    </row>
    <row r="3" spans="1:38" x14ac:dyDescent="0.3">
      <c r="M3" s="52"/>
      <c r="Y3" s="33"/>
      <c r="Z3" s="33"/>
      <c r="AA3" s="33"/>
      <c r="AB3" s="33"/>
      <c r="AC3" s="99"/>
      <c r="AD3" s="33"/>
      <c r="AE3" s="33"/>
      <c r="AF3" s="33"/>
      <c r="AG3" s="33"/>
      <c r="AH3" s="99"/>
      <c r="AL3" s="31"/>
    </row>
    <row r="4" spans="1:38" x14ac:dyDescent="0.3">
      <c r="M4" s="52"/>
      <c r="Y4" s="33"/>
      <c r="Z4" s="33"/>
      <c r="AA4" s="33"/>
      <c r="AB4" s="33"/>
      <c r="AC4" s="99"/>
      <c r="AD4" s="33"/>
      <c r="AE4" s="33"/>
      <c r="AF4" s="33"/>
      <c r="AG4" s="33"/>
      <c r="AH4" s="99"/>
      <c r="AL4" s="31"/>
    </row>
    <row r="5" spans="1:38" x14ac:dyDescent="0.3">
      <c r="M5" s="52"/>
      <c r="AL5" s="31"/>
    </row>
    <row r="6" spans="1:38" x14ac:dyDescent="0.3">
      <c r="M6" s="52"/>
      <c r="AL6" s="31"/>
    </row>
    <row r="7" spans="1:38" x14ac:dyDescent="0.3">
      <c r="M7" s="52"/>
      <c r="AL7" s="31"/>
    </row>
    <row r="8" spans="1:38" x14ac:dyDescent="0.3">
      <c r="M8" s="52"/>
      <c r="AL8" s="31"/>
    </row>
    <row r="9" spans="1:38" x14ac:dyDescent="0.3">
      <c r="AL9" s="31"/>
    </row>
    <row r="10" spans="1:38" x14ac:dyDescent="0.3">
      <c r="AL10" s="31"/>
    </row>
    <row r="11" spans="1:38" x14ac:dyDescent="0.3">
      <c r="AL11" s="31"/>
    </row>
    <row r="12" spans="1:38" x14ac:dyDescent="0.3">
      <c r="AL12" s="31"/>
    </row>
    <row r="13" spans="1:38" x14ac:dyDescent="0.3">
      <c r="AL13" s="31"/>
    </row>
  </sheetData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9"/>
  <sheetViews>
    <sheetView zoomScaleNormal="100" workbookViewId="0">
      <pane xSplit="1" ySplit="1" topLeftCell="BB2" activePane="bottomRight" state="frozen"/>
      <selection pane="topRight" activeCell="B1" sqref="B1"/>
      <selection pane="bottomLeft" activeCell="A2" sqref="A2"/>
      <selection pane="bottomRight" activeCell="AF4" sqref="AF4"/>
    </sheetView>
  </sheetViews>
  <sheetFormatPr defaultColWidth="8.88671875" defaultRowHeight="14.4" x14ac:dyDescent="0.3"/>
  <cols>
    <col min="1" max="1" width="9.44140625" style="9" bestFit="1" customWidth="1"/>
    <col min="2" max="3" width="5.5546875" style="11" bestFit="1" customWidth="1"/>
    <col min="4" max="4" width="7.6640625" style="11" bestFit="1" customWidth="1"/>
    <col min="5" max="5" width="4.5546875" style="11" bestFit="1" customWidth="1"/>
    <col min="6" max="6" width="4.5546875" bestFit="1" customWidth="1"/>
    <col min="7" max="7" width="8.6640625" style="5" bestFit="1" customWidth="1"/>
    <col min="8" max="8" width="6.33203125" style="12" bestFit="1" customWidth="1"/>
    <col min="9" max="9" width="4.5546875" style="12" bestFit="1" customWidth="1"/>
    <col min="10" max="10" width="7.33203125" style="5" bestFit="1" customWidth="1"/>
    <col min="11" max="11" width="8" style="109" bestFit="1" customWidth="1"/>
    <col min="12" max="12" width="7.21875" style="5" bestFit="1" customWidth="1"/>
    <col min="13" max="13" width="8.21875" style="5" bestFit="1" customWidth="1"/>
    <col min="14" max="14" width="4.5546875" bestFit="1" customWidth="1"/>
    <col min="15" max="15" width="4.44140625" bestFit="1" customWidth="1"/>
    <col min="16" max="16" width="7.109375" bestFit="1" customWidth="1"/>
    <col min="17" max="17" width="8.33203125" bestFit="1" customWidth="1"/>
    <col min="18" max="18" width="5.109375" style="20" bestFit="1" customWidth="1"/>
    <col min="19" max="19" width="7.5546875" style="101" bestFit="1" customWidth="1"/>
    <col min="20" max="20" width="10.88671875" style="101" bestFit="1" customWidth="1"/>
    <col min="21" max="21" width="12.77734375" style="101" bestFit="1" customWidth="1"/>
    <col min="22" max="22" width="9" style="101" bestFit="1" customWidth="1"/>
    <col min="23" max="23" width="10.109375" style="5" bestFit="1" customWidth="1"/>
    <col min="24" max="24" width="8.77734375" style="5" bestFit="1" customWidth="1"/>
    <col min="25" max="25" width="9.21875" style="5" bestFit="1" customWidth="1"/>
    <col min="26" max="26" width="4.5546875" style="5" bestFit="1" customWidth="1"/>
    <col min="27" max="27" width="8.33203125" style="101" bestFit="1" customWidth="1"/>
    <col min="28" max="28" width="13.5546875" style="5" bestFit="1" customWidth="1"/>
    <col min="29" max="29" width="7.77734375" style="5" bestFit="1" customWidth="1"/>
    <col min="30" max="30" width="8.21875" style="101" bestFit="1" customWidth="1"/>
    <col min="31" max="31" width="8.5546875" style="101" bestFit="1" customWidth="1"/>
    <col min="32" max="32" width="8.88671875" style="5" bestFit="1" customWidth="1"/>
    <col min="33" max="33" width="8.109375" style="5" bestFit="1" customWidth="1"/>
    <col min="34" max="34" width="8.109375" style="101" bestFit="1" customWidth="1"/>
    <col min="35" max="35" width="5.88671875" style="12" bestFit="1" customWidth="1"/>
    <col min="36" max="36" width="7.33203125" style="12" bestFit="1" customWidth="1"/>
    <col min="37" max="37" width="8.6640625" style="12" bestFit="1" customWidth="1"/>
    <col min="38" max="38" width="6.21875" style="12" bestFit="1" customWidth="1"/>
    <col min="39" max="39" width="9.21875" style="5" bestFit="1" customWidth="1"/>
    <col min="40" max="40" width="12.77734375" style="5" bestFit="1" customWidth="1"/>
    <col min="41" max="41" width="6" style="5" bestFit="1" customWidth="1"/>
    <col min="42" max="42" width="6" style="101" bestFit="1" customWidth="1"/>
    <col min="43" max="43" width="5.88671875" style="12" bestFit="1" customWidth="1"/>
    <col min="44" max="44" width="7.33203125" style="108" bestFit="1" customWidth="1"/>
    <col min="45" max="45" width="8.6640625" style="108" bestFit="1" customWidth="1"/>
    <col min="46" max="46" width="6.21875" style="108" bestFit="1" customWidth="1"/>
    <col min="47" max="47" width="9.21875" style="5" bestFit="1" customWidth="1"/>
    <col min="48" max="48" width="12.77734375" style="5" bestFit="1" customWidth="1"/>
    <col min="49" max="49" width="6" style="5" bestFit="1" customWidth="1"/>
    <col min="50" max="50" width="6" style="101" bestFit="1" customWidth="1"/>
    <col min="51" max="51" width="5.88671875" style="12" bestFit="1" customWidth="1"/>
    <col min="52" max="52" width="7.33203125" style="110" bestFit="1" customWidth="1"/>
    <col min="53" max="53" width="8.6640625" style="110" bestFit="1" customWidth="1"/>
    <col min="54" max="54" width="6.21875" style="110" bestFit="1" customWidth="1"/>
    <col min="55" max="55" width="9.21875" style="5" bestFit="1" customWidth="1"/>
    <col min="56" max="56" width="12.77734375" style="5" bestFit="1" customWidth="1"/>
    <col min="57" max="57" width="6" style="5" bestFit="1" customWidth="1"/>
    <col min="58" max="58" width="6" style="101" bestFit="1" customWidth="1"/>
    <col min="59" max="59" width="5.88671875" style="5" bestFit="1" customWidth="1"/>
    <col min="60" max="60" width="7.33203125" style="110" bestFit="1" customWidth="1"/>
    <col min="61" max="61" width="8.6640625" style="110" bestFit="1" customWidth="1"/>
    <col min="62" max="62" width="6.21875" style="110" bestFit="1" customWidth="1"/>
    <col min="63" max="63" width="9.21875" style="5" bestFit="1" customWidth="1"/>
    <col min="64" max="64" width="12.77734375" style="5" bestFit="1" customWidth="1"/>
    <col min="65" max="65" width="6" style="5" bestFit="1" customWidth="1"/>
    <col min="66" max="66" width="6" style="101" bestFit="1" customWidth="1"/>
    <col min="67" max="67" width="5.88671875" style="5" bestFit="1" customWidth="1"/>
    <col min="68" max="68" width="7.33203125" style="5" bestFit="1" customWidth="1"/>
    <col min="69" max="69" width="8.6640625" bestFit="1" customWidth="1"/>
    <col min="70" max="70" width="6.21875" bestFit="1" customWidth="1"/>
    <col min="71" max="71" width="9.21875" bestFit="1" customWidth="1"/>
    <col min="72" max="72" width="12.77734375" bestFit="1" customWidth="1"/>
    <col min="73" max="73" width="6" bestFit="1" customWidth="1"/>
    <col min="74" max="74" width="6" style="9" bestFit="1" customWidth="1"/>
    <col min="75" max="75" width="10.21875" style="5" customWidth="1"/>
    <col min="76" max="76" width="6.6640625" customWidth="1"/>
    <col min="77" max="77" width="5.109375" customWidth="1"/>
    <col min="78" max="78" width="6.5546875" customWidth="1"/>
    <col min="79" max="79" width="8.109375" customWidth="1"/>
    <col min="80" max="81" width="5.88671875" customWidth="1"/>
    <col min="82" max="82" width="5.6640625" customWidth="1"/>
    <col min="83" max="83" width="6.44140625" customWidth="1"/>
    <col min="84" max="84" width="9.33203125" customWidth="1"/>
    <col min="85" max="85" width="6.88671875" customWidth="1"/>
    <col min="86" max="86" width="6.6640625" customWidth="1"/>
    <col min="87" max="87" width="5.109375" customWidth="1"/>
    <col min="88" max="88" width="6.5546875" customWidth="1"/>
    <col min="89" max="89" width="8.109375" customWidth="1"/>
    <col min="90" max="91" width="5.88671875" customWidth="1"/>
    <col min="92" max="92" width="5.6640625" customWidth="1"/>
    <col min="93" max="93" width="7.33203125" customWidth="1"/>
    <col min="94" max="94" width="9.6640625" customWidth="1"/>
    <col min="95" max="95" width="6.88671875" customWidth="1"/>
    <col min="96" max="96" width="6.6640625" customWidth="1"/>
    <col min="97" max="97" width="5.109375" customWidth="1"/>
    <col min="98" max="98" width="6.5546875" customWidth="1"/>
    <col min="99" max="99" width="8.109375" customWidth="1"/>
    <col min="100" max="101" width="5.88671875" customWidth="1"/>
    <col min="102" max="102" width="5.6640625" customWidth="1"/>
    <col min="103" max="104" width="9" customWidth="1"/>
    <col min="105" max="105" width="6.88671875" customWidth="1"/>
    <col min="106" max="106" width="6.6640625" customWidth="1"/>
    <col min="107" max="113" width="10.5546875" customWidth="1"/>
    <col min="114" max="114" width="12.5546875" customWidth="1"/>
    <col min="115" max="294" width="10.5546875" customWidth="1"/>
    <col min="295" max="295" width="9.44140625" customWidth="1"/>
    <col min="296" max="296" width="6.6640625" customWidth="1"/>
    <col min="297" max="297" width="5.5546875" customWidth="1"/>
    <col min="298" max="298" width="5.44140625" customWidth="1"/>
    <col min="299" max="299" width="5.6640625" customWidth="1"/>
    <col min="300" max="300" width="4.6640625" customWidth="1"/>
    <col min="301" max="301" width="6.88671875" customWidth="1"/>
    <col min="302" max="302" width="5.44140625" customWidth="1"/>
    <col min="303" max="303" width="4.6640625" customWidth="1"/>
    <col min="304" max="304" width="5" customWidth="1"/>
    <col min="305" max="305" width="6.33203125" customWidth="1"/>
    <col min="306" max="306" width="6.44140625" customWidth="1"/>
    <col min="307" max="307" width="7.109375" customWidth="1"/>
    <col min="308" max="308" width="5.5546875" customWidth="1"/>
    <col min="309" max="309" width="5.6640625" customWidth="1"/>
    <col min="310" max="310" width="6.5546875" customWidth="1"/>
    <col min="311" max="311" width="6.44140625" customWidth="1"/>
    <col min="312" max="312" width="6" customWidth="1"/>
    <col min="313" max="313" width="5.109375" customWidth="1"/>
    <col min="314" max="314" width="6.5546875" customWidth="1"/>
    <col min="315" max="317" width="5.88671875" customWidth="1"/>
    <col min="318" max="318" width="5.6640625" customWidth="1"/>
    <col min="319" max="319" width="6.109375" customWidth="1"/>
    <col min="320" max="320" width="8.33203125" customWidth="1"/>
    <col min="321" max="321" width="6.88671875" customWidth="1"/>
    <col min="322" max="322" width="6.6640625" customWidth="1"/>
    <col min="323" max="323" width="5.109375" customWidth="1"/>
    <col min="324" max="324" width="6.5546875" customWidth="1"/>
    <col min="325" max="325" width="8.109375" customWidth="1"/>
    <col min="326" max="327" width="5.88671875" customWidth="1"/>
    <col min="328" max="328" width="5.6640625" customWidth="1"/>
    <col min="329" max="329" width="6" customWidth="1"/>
    <col min="330" max="330" width="7.33203125" customWidth="1"/>
    <col min="331" max="331" width="6.88671875" customWidth="1"/>
    <col min="332" max="332" width="6.6640625" customWidth="1"/>
    <col min="333" max="333" width="5.109375" customWidth="1"/>
    <col min="334" max="334" width="6.5546875" customWidth="1"/>
    <col min="335" max="335" width="8.109375" customWidth="1"/>
    <col min="336" max="337" width="5.88671875" customWidth="1"/>
    <col min="338" max="338" width="5.6640625" customWidth="1"/>
    <col min="339" max="339" width="6.44140625" customWidth="1"/>
    <col min="340" max="340" width="9.33203125" customWidth="1"/>
    <col min="341" max="341" width="6.88671875" customWidth="1"/>
    <col min="342" max="342" width="6.6640625" customWidth="1"/>
    <col min="343" max="343" width="5.109375" customWidth="1"/>
    <col min="344" max="344" width="6.5546875" customWidth="1"/>
    <col min="345" max="345" width="8.109375" customWidth="1"/>
    <col min="346" max="347" width="5.88671875" customWidth="1"/>
    <col min="348" max="348" width="5.6640625" customWidth="1"/>
    <col min="349" max="349" width="7.33203125" customWidth="1"/>
    <col min="350" max="350" width="9.6640625" customWidth="1"/>
    <col min="351" max="351" width="6.88671875" customWidth="1"/>
    <col min="352" max="352" width="6.6640625" customWidth="1"/>
    <col min="353" max="353" width="5.109375" customWidth="1"/>
    <col min="354" max="354" width="6.5546875" customWidth="1"/>
    <col min="355" max="355" width="8.109375" customWidth="1"/>
    <col min="356" max="357" width="5.88671875" customWidth="1"/>
    <col min="358" max="358" width="5.6640625" customWidth="1"/>
    <col min="359" max="360" width="9" customWidth="1"/>
    <col min="361" max="361" width="6.88671875" customWidth="1"/>
    <col min="362" max="362" width="6.6640625" customWidth="1"/>
    <col min="363" max="369" width="10.5546875" customWidth="1"/>
    <col min="370" max="370" width="12.5546875" customWidth="1"/>
    <col min="371" max="550" width="10.5546875" customWidth="1"/>
    <col min="551" max="551" width="9.44140625" customWidth="1"/>
    <col min="552" max="552" width="6.6640625" customWidth="1"/>
    <col min="553" max="553" width="5.5546875" customWidth="1"/>
    <col min="554" max="554" width="5.44140625" customWidth="1"/>
    <col min="555" max="555" width="5.6640625" customWidth="1"/>
    <col min="556" max="556" width="4.6640625" customWidth="1"/>
    <col min="557" max="557" width="6.88671875" customWidth="1"/>
    <col min="558" max="558" width="5.44140625" customWidth="1"/>
    <col min="559" max="559" width="4.6640625" customWidth="1"/>
    <col min="560" max="560" width="5" customWidth="1"/>
    <col min="561" max="561" width="6.33203125" customWidth="1"/>
    <col min="562" max="562" width="6.44140625" customWidth="1"/>
    <col min="563" max="563" width="7.109375" customWidth="1"/>
    <col min="564" max="564" width="5.5546875" customWidth="1"/>
    <col min="565" max="565" width="5.6640625" customWidth="1"/>
    <col min="566" max="566" width="6.5546875" customWidth="1"/>
    <col min="567" max="567" width="6.44140625" customWidth="1"/>
    <col min="568" max="568" width="6" customWidth="1"/>
    <col min="569" max="569" width="5.109375" customWidth="1"/>
    <col min="570" max="570" width="6.5546875" customWidth="1"/>
    <col min="571" max="573" width="5.88671875" customWidth="1"/>
    <col min="574" max="574" width="5.6640625" customWidth="1"/>
    <col min="575" max="575" width="6.109375" customWidth="1"/>
    <col min="576" max="576" width="8.33203125" customWidth="1"/>
    <col min="577" max="577" width="6.88671875" customWidth="1"/>
    <col min="578" max="578" width="6.6640625" customWidth="1"/>
    <col min="579" max="579" width="5.109375" customWidth="1"/>
    <col min="580" max="580" width="6.5546875" customWidth="1"/>
    <col min="581" max="581" width="8.109375" customWidth="1"/>
    <col min="582" max="583" width="5.88671875" customWidth="1"/>
    <col min="584" max="584" width="5.6640625" customWidth="1"/>
    <col min="585" max="585" width="6" customWidth="1"/>
    <col min="586" max="586" width="7.33203125" customWidth="1"/>
    <col min="587" max="587" width="6.88671875" customWidth="1"/>
    <col min="588" max="588" width="6.6640625" customWidth="1"/>
    <col min="589" max="589" width="5.109375" customWidth="1"/>
    <col min="590" max="590" width="6.5546875" customWidth="1"/>
    <col min="591" max="591" width="8.109375" customWidth="1"/>
    <col min="592" max="593" width="5.88671875" customWidth="1"/>
    <col min="594" max="594" width="5.6640625" customWidth="1"/>
    <col min="595" max="595" width="6.44140625" customWidth="1"/>
    <col min="596" max="596" width="9.33203125" customWidth="1"/>
    <col min="597" max="597" width="6.88671875" customWidth="1"/>
    <col min="598" max="598" width="6.6640625" customWidth="1"/>
    <col min="599" max="599" width="5.109375" customWidth="1"/>
    <col min="600" max="600" width="6.5546875" customWidth="1"/>
    <col min="601" max="601" width="8.109375" customWidth="1"/>
    <col min="602" max="603" width="5.88671875" customWidth="1"/>
    <col min="604" max="604" width="5.6640625" customWidth="1"/>
    <col min="605" max="605" width="7.33203125" customWidth="1"/>
    <col min="606" max="606" width="9.6640625" customWidth="1"/>
    <col min="607" max="607" width="6.88671875" customWidth="1"/>
    <col min="608" max="608" width="6.6640625" customWidth="1"/>
    <col min="609" max="609" width="5.109375" customWidth="1"/>
    <col min="610" max="610" width="6.5546875" customWidth="1"/>
    <col min="611" max="611" width="8.109375" customWidth="1"/>
    <col min="612" max="613" width="5.88671875" customWidth="1"/>
    <col min="614" max="614" width="5.6640625" customWidth="1"/>
    <col min="615" max="616" width="9" customWidth="1"/>
    <col min="617" max="617" width="6.88671875" customWidth="1"/>
    <col min="618" max="618" width="6.6640625" customWidth="1"/>
    <col min="619" max="625" width="10.5546875" customWidth="1"/>
    <col min="626" max="626" width="12.5546875" customWidth="1"/>
    <col min="627" max="802" width="10.5546875" customWidth="1"/>
    <col min="803" max="852" width="9.109375" customWidth="1"/>
  </cols>
  <sheetData>
    <row r="1" spans="1:74" s="127" customFormat="1" ht="25.2" customHeight="1" x14ac:dyDescent="0.3">
      <c r="A1" s="111" t="s">
        <v>29</v>
      </c>
      <c r="B1" s="112" t="s">
        <v>30</v>
      </c>
      <c r="C1" s="112" t="s">
        <v>31</v>
      </c>
      <c r="D1" s="112" t="s">
        <v>127</v>
      </c>
      <c r="E1" s="112" t="s">
        <v>32</v>
      </c>
      <c r="F1" s="112" t="s">
        <v>33</v>
      </c>
      <c r="G1" s="112" t="s">
        <v>128</v>
      </c>
      <c r="H1" s="112" t="s">
        <v>34</v>
      </c>
      <c r="I1" s="112" t="s">
        <v>35</v>
      </c>
      <c r="J1" s="112" t="s">
        <v>129</v>
      </c>
      <c r="K1" s="112" t="s">
        <v>130</v>
      </c>
      <c r="L1" s="112" t="s">
        <v>131</v>
      </c>
      <c r="M1" s="112" t="s">
        <v>132</v>
      </c>
      <c r="N1" s="112" t="s">
        <v>133</v>
      </c>
      <c r="O1" s="112" t="s">
        <v>134</v>
      </c>
      <c r="P1" s="112" t="s">
        <v>135</v>
      </c>
      <c r="Q1" s="112" t="s">
        <v>250</v>
      </c>
      <c r="R1" s="112" t="s">
        <v>136</v>
      </c>
      <c r="S1" s="113" t="s">
        <v>137</v>
      </c>
      <c r="T1" s="114" t="s">
        <v>232</v>
      </c>
      <c r="U1" s="115" t="s">
        <v>233</v>
      </c>
      <c r="V1" s="116" t="s">
        <v>234</v>
      </c>
      <c r="W1" s="117" t="s">
        <v>235</v>
      </c>
      <c r="X1" s="117" t="s">
        <v>236</v>
      </c>
      <c r="Y1" s="117" t="s">
        <v>237</v>
      </c>
      <c r="Z1" s="117" t="s">
        <v>238</v>
      </c>
      <c r="AA1" s="106" t="s">
        <v>239</v>
      </c>
      <c r="AB1" s="118" t="s">
        <v>240</v>
      </c>
      <c r="AC1" s="118" t="s">
        <v>243</v>
      </c>
      <c r="AD1" s="119" t="s">
        <v>244</v>
      </c>
      <c r="AE1" s="120" t="s">
        <v>241</v>
      </c>
      <c r="AF1" s="121" t="s">
        <v>242</v>
      </c>
      <c r="AG1" s="121" t="s">
        <v>245</v>
      </c>
      <c r="AH1" s="122" t="s">
        <v>246</v>
      </c>
      <c r="AI1" s="123" t="s">
        <v>36</v>
      </c>
      <c r="AJ1" s="123" t="s">
        <v>37</v>
      </c>
      <c r="AK1" s="123" t="s">
        <v>38</v>
      </c>
      <c r="AL1" s="123" t="s">
        <v>39</v>
      </c>
      <c r="AM1" s="123" t="s">
        <v>142</v>
      </c>
      <c r="AN1" s="123" t="s">
        <v>143</v>
      </c>
      <c r="AO1" s="123" t="s">
        <v>144</v>
      </c>
      <c r="AP1" s="124" t="s">
        <v>145</v>
      </c>
      <c r="AQ1" s="125" t="s">
        <v>40</v>
      </c>
      <c r="AR1" s="125" t="s">
        <v>41</v>
      </c>
      <c r="AS1" s="125" t="s">
        <v>42</v>
      </c>
      <c r="AT1" s="125" t="s">
        <v>43</v>
      </c>
      <c r="AU1" s="125" t="s">
        <v>146</v>
      </c>
      <c r="AV1" s="125" t="s">
        <v>147</v>
      </c>
      <c r="AW1" s="125" t="s">
        <v>148</v>
      </c>
      <c r="AX1" s="126" t="s">
        <v>149</v>
      </c>
      <c r="AY1" s="123" t="s">
        <v>44</v>
      </c>
      <c r="AZ1" s="123" t="s">
        <v>45</v>
      </c>
      <c r="BA1" s="123" t="s">
        <v>46</v>
      </c>
      <c r="BB1" s="123" t="s">
        <v>47</v>
      </c>
      <c r="BC1" s="123" t="s">
        <v>150</v>
      </c>
      <c r="BD1" s="123" t="s">
        <v>151</v>
      </c>
      <c r="BE1" s="123" t="s">
        <v>152</v>
      </c>
      <c r="BF1" s="124" t="s">
        <v>153</v>
      </c>
      <c r="BG1" s="125" t="s">
        <v>48</v>
      </c>
      <c r="BH1" s="125" t="s">
        <v>49</v>
      </c>
      <c r="BI1" s="125" t="s">
        <v>50</v>
      </c>
      <c r="BJ1" s="125" t="s">
        <v>51</v>
      </c>
      <c r="BK1" s="125" t="s">
        <v>154</v>
      </c>
      <c r="BL1" s="125" t="s">
        <v>155</v>
      </c>
      <c r="BM1" s="125" t="s">
        <v>156</v>
      </c>
      <c r="BN1" s="126" t="s">
        <v>157</v>
      </c>
      <c r="BO1" s="123" t="s">
        <v>138</v>
      </c>
      <c r="BP1" s="123" t="s">
        <v>139</v>
      </c>
      <c r="BQ1" s="123" t="s">
        <v>140</v>
      </c>
      <c r="BR1" s="123" t="s">
        <v>141</v>
      </c>
      <c r="BS1" s="123" t="s">
        <v>158</v>
      </c>
      <c r="BT1" s="123" t="s">
        <v>159</v>
      </c>
      <c r="BU1" s="123" t="s">
        <v>160</v>
      </c>
      <c r="BV1" s="124" t="s">
        <v>161</v>
      </c>
    </row>
    <row r="2" spans="1:74" x14ac:dyDescent="0.3">
      <c r="A2" s="9" t="s">
        <v>307</v>
      </c>
      <c r="B2" s="4">
        <v>17.024999999999999</v>
      </c>
      <c r="C2" s="141">
        <v>0.105</v>
      </c>
      <c r="D2">
        <v>35</v>
      </c>
      <c r="E2" s="4">
        <v>0.53294732400211442</v>
      </c>
      <c r="F2" s="4">
        <v>8.2475000000000005</v>
      </c>
      <c r="G2">
        <v>0</v>
      </c>
      <c r="H2">
        <v>0.22</v>
      </c>
      <c r="I2" s="4">
        <v>9.36</v>
      </c>
      <c r="J2">
        <v>0</v>
      </c>
      <c r="K2">
        <v>210</v>
      </c>
      <c r="L2">
        <v>50</v>
      </c>
      <c r="M2">
        <v>1.5</v>
      </c>
      <c r="N2">
        <v>60</v>
      </c>
      <c r="O2">
        <v>4</v>
      </c>
      <c r="P2">
        <v>0.01</v>
      </c>
      <c r="Q2" s="4">
        <v>9.4611460699887626</v>
      </c>
      <c r="R2" s="142">
        <v>0.65</v>
      </c>
      <c r="S2" s="9">
        <v>0.33</v>
      </c>
      <c r="T2" s="143">
        <v>2</v>
      </c>
      <c r="U2" s="144">
        <v>2</v>
      </c>
      <c r="V2" s="143">
        <v>2</v>
      </c>
      <c r="W2" s="145">
        <v>2</v>
      </c>
      <c r="X2" s="145">
        <v>0</v>
      </c>
      <c r="Y2" s="145">
        <v>0</v>
      </c>
      <c r="Z2" s="4">
        <v>0</v>
      </c>
      <c r="AA2" s="143">
        <v>0</v>
      </c>
      <c r="AB2" s="145">
        <v>2</v>
      </c>
      <c r="AC2" s="4">
        <v>0</v>
      </c>
      <c r="AD2" s="146">
        <v>0</v>
      </c>
      <c r="AE2" s="143">
        <v>1</v>
      </c>
      <c r="AF2" s="145">
        <v>1</v>
      </c>
      <c r="AG2" s="145">
        <v>20</v>
      </c>
      <c r="AH2" s="146">
        <v>2</v>
      </c>
      <c r="AI2" s="145">
        <v>30</v>
      </c>
      <c r="AJ2">
        <v>25.47</v>
      </c>
      <c r="AK2" s="4">
        <v>10</v>
      </c>
      <c r="AL2" s="4">
        <v>1.43</v>
      </c>
      <c r="AM2" s="145">
        <v>0</v>
      </c>
      <c r="AN2" s="145">
        <v>1</v>
      </c>
      <c r="AO2" s="145">
        <v>50</v>
      </c>
      <c r="AP2" s="143">
        <v>10</v>
      </c>
      <c r="AQ2" s="145">
        <v>30</v>
      </c>
      <c r="AR2" s="4">
        <v>23</v>
      </c>
      <c r="AS2" s="4">
        <v>10</v>
      </c>
      <c r="AT2" s="4">
        <v>1.498095</v>
      </c>
      <c r="AU2" s="145">
        <v>0</v>
      </c>
      <c r="AV2" s="145">
        <v>1</v>
      </c>
      <c r="AW2" s="145">
        <v>50</v>
      </c>
      <c r="AX2" s="143">
        <v>10</v>
      </c>
      <c r="AY2" s="145">
        <v>30</v>
      </c>
      <c r="AZ2" s="4">
        <v>22.4</v>
      </c>
      <c r="BA2" s="4">
        <v>10</v>
      </c>
      <c r="BB2" s="4">
        <v>1.5641069999999999</v>
      </c>
      <c r="BC2" s="145">
        <v>0</v>
      </c>
      <c r="BD2" s="145">
        <v>1</v>
      </c>
      <c r="BE2" s="145">
        <v>50</v>
      </c>
      <c r="BF2" s="143">
        <v>10</v>
      </c>
      <c r="BG2" s="145">
        <v>60</v>
      </c>
      <c r="BH2" s="4">
        <v>22.5</v>
      </c>
      <c r="BI2" s="4">
        <v>10</v>
      </c>
      <c r="BJ2" s="4">
        <v>1.5539584999999998</v>
      </c>
      <c r="BK2" s="145">
        <v>0</v>
      </c>
      <c r="BL2" s="145">
        <v>1</v>
      </c>
      <c r="BM2" s="145">
        <v>50</v>
      </c>
      <c r="BN2" s="143">
        <v>10</v>
      </c>
      <c r="BO2" s="145">
        <v>60</v>
      </c>
      <c r="BP2" s="4">
        <v>22.91</v>
      </c>
      <c r="BQ2" s="4">
        <v>10</v>
      </c>
      <c r="BR2" s="4">
        <v>1.5172025</v>
      </c>
      <c r="BS2" s="145">
        <v>0</v>
      </c>
      <c r="BT2" s="145">
        <v>1</v>
      </c>
      <c r="BU2" s="145">
        <v>50</v>
      </c>
      <c r="BV2" s="143">
        <v>10</v>
      </c>
    </row>
    <row r="8" spans="1:74" x14ac:dyDescent="0.3">
      <c r="B8" s="29"/>
      <c r="C8" s="33"/>
      <c r="D8" s="29"/>
      <c r="E8" s="29"/>
      <c r="F8" s="29"/>
      <c r="G8" s="109"/>
    </row>
    <row r="9" spans="1:74" x14ac:dyDescent="0.3">
      <c r="B9" s="29"/>
      <c r="C9" s="33"/>
      <c r="D9" s="29"/>
      <c r="E9" s="29"/>
      <c r="F9" s="29"/>
      <c r="G9" s="109"/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O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L6" sqref="DL6"/>
    </sheetView>
  </sheetViews>
  <sheetFormatPr defaultColWidth="8.88671875" defaultRowHeight="14.4" x14ac:dyDescent="0.3"/>
  <cols>
    <col min="1" max="1" width="33.77734375" style="1" bestFit="1" customWidth="1"/>
    <col min="2" max="2" width="7.33203125" bestFit="1" customWidth="1"/>
    <col min="3" max="3" width="9.44140625" bestFit="1" customWidth="1"/>
    <col min="4" max="4" width="6.44140625" bestFit="1" customWidth="1"/>
    <col min="5" max="5" width="8.44140625" bestFit="1" customWidth="1"/>
    <col min="6" max="6" width="10.33203125" bestFit="1" customWidth="1"/>
    <col min="7" max="7" width="9.77734375" bestFit="1" customWidth="1"/>
    <col min="8" max="8" width="8.44140625" bestFit="1" customWidth="1"/>
    <col min="9" max="9" width="7.33203125" bestFit="1" customWidth="1"/>
    <col min="10" max="10" width="9.44140625" bestFit="1" customWidth="1"/>
    <col min="11" max="11" width="6.44140625" customWidth="1"/>
    <col min="12" max="12" width="8.44140625" customWidth="1"/>
    <col min="13" max="13" width="10.33203125" customWidth="1"/>
    <col min="14" max="14" width="9.77734375" customWidth="1"/>
    <col min="15" max="15" width="8.44140625" customWidth="1"/>
    <col min="16" max="16" width="16.77734375" style="15" bestFit="1" customWidth="1"/>
    <col min="17" max="17" width="7.21875" style="15" bestFit="1" customWidth="1"/>
    <col min="18" max="18" width="4.6640625" style="15" bestFit="1" customWidth="1"/>
    <col min="19" max="19" width="8.109375" style="15" bestFit="1" customWidth="1"/>
    <col min="20" max="20" width="8.88671875" style="15" bestFit="1" customWidth="1"/>
    <col min="21" max="21" width="9.6640625" style="15" bestFit="1" customWidth="1"/>
    <col min="22" max="22" width="8.109375" style="15" bestFit="1" customWidth="1"/>
    <col min="23" max="23" width="8.88671875" style="15" customWidth="1"/>
    <col min="24" max="24" width="9.6640625" style="15" bestFit="1" customWidth="1"/>
    <col min="25" max="25" width="8.109375" style="15" bestFit="1" customWidth="1"/>
    <col min="26" max="26" width="8.88671875" style="15" customWidth="1"/>
    <col min="27" max="27" width="9.6640625" style="15" bestFit="1" customWidth="1"/>
    <col min="28" max="28" width="4.5546875" bestFit="1" customWidth="1"/>
    <col min="29" max="29" width="7.77734375" bestFit="1" customWidth="1"/>
    <col min="30" max="30" width="10.21875" bestFit="1" customWidth="1"/>
    <col min="31" max="31" width="6.6640625" bestFit="1" customWidth="1"/>
    <col min="32" max="32" width="10.88671875" bestFit="1" customWidth="1"/>
    <col min="33" max="33" width="8.33203125" bestFit="1" customWidth="1"/>
    <col min="34" max="34" width="9.44140625" bestFit="1" customWidth="1"/>
    <col min="35" max="35" width="12.88671875" bestFit="1" customWidth="1"/>
    <col min="36" max="36" width="15.88671875" bestFit="1" customWidth="1"/>
    <col min="37" max="37" width="13.6640625" bestFit="1" customWidth="1"/>
    <col min="38" max="38" width="17.21875" bestFit="1" customWidth="1"/>
    <col min="39" max="39" width="17.44140625" bestFit="1" customWidth="1"/>
    <col min="40" max="40" width="16.5546875" style="9" bestFit="1" customWidth="1"/>
    <col min="41" max="41" width="9.44140625" bestFit="1" customWidth="1"/>
    <col min="42" max="42" width="4.6640625" bestFit="1" customWidth="1"/>
    <col min="43" max="43" width="4.6640625" style="1" bestFit="1" customWidth="1"/>
    <col min="44" max="44" width="4.6640625" bestFit="1" customWidth="1"/>
    <col min="45" max="45" width="4.6640625" style="1" bestFit="1" customWidth="1"/>
    <col min="46" max="46" width="4.6640625" bestFit="1" customWidth="1"/>
    <col min="47" max="47" width="4.6640625" style="1" bestFit="1" customWidth="1"/>
    <col min="48" max="48" width="4.6640625" bestFit="1" customWidth="1"/>
    <col min="49" max="49" width="4.6640625" style="1" bestFit="1" customWidth="1"/>
    <col min="50" max="50" width="4.6640625" bestFit="1" customWidth="1"/>
    <col min="51" max="51" width="5.109375" style="36" bestFit="1" customWidth="1"/>
    <col min="52" max="52" width="10.44140625" style="17" bestFit="1" customWidth="1"/>
    <col min="53" max="53" width="5.33203125" style="17" bestFit="1" customWidth="1"/>
    <col min="54" max="54" width="6.77734375" style="17" bestFit="1" customWidth="1"/>
    <col min="55" max="55" width="11" style="17" bestFit="1" customWidth="1"/>
    <col min="56" max="56" width="16.6640625" style="17" bestFit="1" customWidth="1"/>
    <col min="57" max="57" width="15.5546875" style="17" bestFit="1" customWidth="1"/>
    <col min="58" max="58" width="14.6640625" style="17" bestFit="1" customWidth="1"/>
    <col min="59" max="59" width="18.109375" style="17" bestFit="1" customWidth="1"/>
    <col min="60" max="60" width="17.33203125" style="17" bestFit="1" customWidth="1"/>
    <col min="61" max="61" width="15.21875" style="29" bestFit="1" customWidth="1"/>
    <col min="62" max="62" width="9.5546875" style="29" bestFit="1" customWidth="1"/>
    <col min="63" max="63" width="6.5546875" style="30" bestFit="1" customWidth="1"/>
    <col min="64" max="64" width="7.77734375" style="31" bestFit="1" customWidth="1"/>
    <col min="65" max="65" width="6.6640625" style="30" bestFit="1" customWidth="1"/>
    <col min="66" max="66" width="13" style="29" bestFit="1" customWidth="1"/>
    <col min="67" max="67" width="12.5546875" style="29" bestFit="1" customWidth="1"/>
    <col min="68" max="68" width="7.109375" style="29" bestFit="1" customWidth="1"/>
    <col min="69" max="70" width="8.21875" style="29" bestFit="1" customWidth="1"/>
    <col min="71" max="71" width="8.77734375" style="29" bestFit="1" customWidth="1"/>
    <col min="72" max="73" width="8.21875" style="29" bestFit="1" customWidth="1"/>
    <col min="74" max="74" width="8.77734375" style="29" bestFit="1" customWidth="1"/>
    <col min="75" max="75" width="9.88671875" style="30" bestFit="1" customWidth="1"/>
    <col min="76" max="76" width="6.88671875" style="31" bestFit="1" customWidth="1"/>
    <col min="77" max="77" width="8.88671875" style="30" bestFit="1" customWidth="1"/>
    <col min="78" max="78" width="12.21875" style="21" bestFit="1" customWidth="1"/>
    <col min="79" max="79" width="16.21875" style="36" bestFit="1" customWidth="1"/>
    <col min="80" max="80" width="13.6640625" style="18" bestFit="1" customWidth="1"/>
    <col min="81" max="81" width="9.21875" style="30" bestFit="1" customWidth="1"/>
    <col min="82" max="82" width="8.21875" style="29" bestFit="1" customWidth="1"/>
    <col min="83" max="83" width="10.33203125" style="31" bestFit="1" customWidth="1"/>
    <col min="84" max="84" width="9.77734375" style="29" bestFit="1" customWidth="1"/>
    <col min="85" max="85" width="10" style="29" bestFit="1" customWidth="1"/>
    <col min="86" max="86" width="11.109375" style="29" bestFit="1" customWidth="1"/>
    <col min="87" max="87" width="11.5546875" style="29" bestFit="1" customWidth="1"/>
    <col min="88" max="88" width="7.88671875" style="29" bestFit="1" customWidth="1"/>
    <col min="89" max="89" width="10" style="29" bestFit="1" customWidth="1"/>
    <col min="90" max="90" width="7.44140625" style="31" bestFit="1" customWidth="1"/>
    <col min="91" max="91" width="15.33203125" style="10" bestFit="1" customWidth="1"/>
    <col min="92" max="92" width="14.109375" bestFit="1" customWidth="1"/>
    <col min="93" max="93" width="17.21875" style="9" bestFit="1" customWidth="1"/>
    <col min="94" max="94" width="10.5546875" style="29" bestFit="1" customWidth="1"/>
    <col min="95" max="95" width="19.21875" style="17" bestFit="1" customWidth="1"/>
    <col min="96" max="96" width="14.77734375" style="29" bestFit="1" customWidth="1"/>
    <col min="97" max="97" width="14.21875" style="29" bestFit="1" customWidth="1"/>
    <col min="98" max="98" width="15" style="29" bestFit="1" customWidth="1"/>
    <col min="99" max="99" width="12.109375" style="31" bestFit="1" customWidth="1"/>
    <col min="100" max="100" width="11.21875" style="29" bestFit="1" customWidth="1"/>
    <col min="101" max="101" width="18.88671875" style="29" bestFit="1" customWidth="1"/>
    <col min="102" max="102" width="18.88671875" style="31" bestFit="1" customWidth="1"/>
    <col min="103" max="103" width="10.5546875" style="29" bestFit="1" customWidth="1"/>
    <col min="104" max="104" width="8.6640625" style="29" bestFit="1" customWidth="1"/>
    <col min="105" max="105" width="9.33203125" style="29" bestFit="1" customWidth="1"/>
    <col min="106" max="106" width="9.77734375" style="29" bestFit="1" customWidth="1"/>
    <col min="107" max="107" width="11" style="29" bestFit="1" customWidth="1"/>
    <col min="108" max="108" width="7.5546875" style="29" bestFit="1" customWidth="1"/>
    <col min="109" max="109" width="10.77734375" style="31" bestFit="1" customWidth="1"/>
    <col min="110" max="110" width="10.77734375" style="29" bestFit="1" customWidth="1"/>
    <col min="111" max="111" width="9.21875" style="32" bestFit="1" customWidth="1"/>
    <col min="112" max="112" width="10" style="32" bestFit="1" customWidth="1"/>
    <col min="113" max="113" width="11.5546875" style="29" bestFit="1" customWidth="1"/>
    <col min="114" max="114" width="8.21875" style="29" bestFit="1" customWidth="1"/>
    <col min="115" max="115" width="6.21875" style="29" bestFit="1" customWidth="1"/>
    <col min="116" max="116" width="8.109375" style="29" bestFit="1" customWidth="1"/>
    <col min="117" max="117" width="8.109375" style="31" bestFit="1" customWidth="1"/>
    <col min="118" max="118" width="9" style="29" bestFit="1" customWidth="1"/>
    <col min="119" max="119" width="6.88671875" style="31" bestFit="1" customWidth="1"/>
    <col min="120" max="120" width="12.33203125" style="29" bestFit="1" customWidth="1"/>
    <col min="121" max="121" width="10.6640625" style="29" bestFit="1" customWidth="1"/>
    <col min="122" max="122" width="6.5546875" style="31" bestFit="1" customWidth="1"/>
    <col min="123" max="123" width="7.109375" bestFit="1" customWidth="1"/>
    <col min="124" max="124" width="10.33203125" bestFit="1" customWidth="1"/>
    <col min="125" max="125" width="9.77734375" bestFit="1" customWidth="1"/>
    <col min="126" max="126" width="8.5546875" bestFit="1" customWidth="1"/>
    <col min="127" max="127" width="9.77734375" bestFit="1" customWidth="1"/>
    <col min="128" max="128" width="8.5546875" bestFit="1" customWidth="1"/>
    <col min="129" max="129" width="9.77734375" style="9" bestFit="1" customWidth="1"/>
    <col min="130" max="130" width="11" style="17" bestFit="1" customWidth="1"/>
    <col min="131" max="131" width="5.6640625" style="18" bestFit="1" customWidth="1"/>
    <col min="132" max="132" width="8.109375" style="29" bestFit="1" customWidth="1"/>
    <col min="133" max="133" width="7.5546875" style="29" bestFit="1" customWidth="1"/>
    <col min="134" max="134" width="8.21875" style="29" bestFit="1" customWidth="1"/>
    <col min="135" max="135" width="9.21875" style="29" bestFit="1" customWidth="1"/>
    <col min="136" max="136" width="9.88671875" style="31" bestFit="1" customWidth="1"/>
    <col min="137" max="137" width="11.33203125" style="29" bestFit="1" customWidth="1"/>
    <col min="138" max="138" width="13.5546875" style="29" bestFit="1" customWidth="1"/>
    <col min="139" max="139" width="7.5546875" style="29" bestFit="1" customWidth="1"/>
    <col min="140" max="140" width="16.6640625" style="29" bestFit="1" customWidth="1"/>
    <col min="141" max="141" width="8.77734375" style="31" bestFit="1" customWidth="1"/>
    <col min="142" max="142" width="16.109375" style="32" bestFit="1" customWidth="1"/>
    <col min="143" max="716" width="10.5546875" customWidth="1"/>
    <col min="717" max="919" width="9.109375" customWidth="1"/>
  </cols>
  <sheetData>
    <row r="1" spans="1:145" ht="15" thickBot="1" x14ac:dyDescent="0.35">
      <c r="A1" s="2" t="s">
        <v>52</v>
      </c>
      <c r="B1" s="107" t="s">
        <v>255</v>
      </c>
      <c r="C1" s="107" t="s">
        <v>256</v>
      </c>
      <c r="D1" s="107" t="s">
        <v>257</v>
      </c>
      <c r="E1" s="107" t="s">
        <v>258</v>
      </c>
      <c r="F1" s="107" t="s">
        <v>259</v>
      </c>
      <c r="G1" s="107" t="s">
        <v>260</v>
      </c>
      <c r="H1" s="107" t="s">
        <v>261</v>
      </c>
      <c r="I1" s="107" t="s">
        <v>262</v>
      </c>
      <c r="J1" s="107" t="s">
        <v>263</v>
      </c>
      <c r="K1" s="107" t="s">
        <v>264</v>
      </c>
      <c r="L1" s="107" t="s">
        <v>265</v>
      </c>
      <c r="M1" s="107" t="s">
        <v>266</v>
      </c>
      <c r="N1" s="107" t="s">
        <v>267</v>
      </c>
      <c r="O1" s="107" t="s">
        <v>268</v>
      </c>
      <c r="P1" s="128" t="s">
        <v>162</v>
      </c>
      <c r="Q1" s="128" t="s">
        <v>229</v>
      </c>
      <c r="R1" s="128" t="s">
        <v>230</v>
      </c>
      <c r="S1" s="128" t="s">
        <v>270</v>
      </c>
      <c r="T1" s="128" t="s">
        <v>272</v>
      </c>
      <c r="U1" s="128" t="s">
        <v>271</v>
      </c>
      <c r="V1" s="128" t="s">
        <v>273</v>
      </c>
      <c r="W1" s="128" t="s">
        <v>275</v>
      </c>
      <c r="X1" s="128" t="s">
        <v>274</v>
      </c>
      <c r="Y1" s="128" t="s">
        <v>276</v>
      </c>
      <c r="Z1" s="128" t="s">
        <v>278</v>
      </c>
      <c r="AA1" s="128" t="s">
        <v>277</v>
      </c>
      <c r="AB1" s="59" t="s">
        <v>53</v>
      </c>
      <c r="AC1" s="60" t="s">
        <v>54</v>
      </c>
      <c r="AD1" s="60" t="s">
        <v>55</v>
      </c>
      <c r="AE1" s="59" t="s">
        <v>56</v>
      </c>
      <c r="AF1" s="59" t="s">
        <v>163</v>
      </c>
      <c r="AG1" s="59" t="s">
        <v>164</v>
      </c>
      <c r="AH1" s="59" t="s">
        <v>165</v>
      </c>
      <c r="AI1" s="59" t="s">
        <v>166</v>
      </c>
      <c r="AJ1" s="59" t="s">
        <v>167</v>
      </c>
      <c r="AK1" s="59" t="s">
        <v>168</v>
      </c>
      <c r="AL1" s="7" t="s">
        <v>169</v>
      </c>
      <c r="AM1" s="7" t="s">
        <v>170</v>
      </c>
      <c r="AN1" s="8" t="s">
        <v>171</v>
      </c>
      <c r="AO1" s="61" t="s">
        <v>57</v>
      </c>
      <c r="AP1" s="61" t="s">
        <v>58</v>
      </c>
      <c r="AQ1" s="61" t="s">
        <v>59</v>
      </c>
      <c r="AR1" s="61" t="s">
        <v>60</v>
      </c>
      <c r="AS1" s="61" t="s">
        <v>61</v>
      </c>
      <c r="AT1" s="61" t="s">
        <v>62</v>
      </c>
      <c r="AU1" s="61" t="s">
        <v>63</v>
      </c>
      <c r="AV1" s="61" t="s">
        <v>64</v>
      </c>
      <c r="AW1" s="61" t="s">
        <v>65</v>
      </c>
      <c r="AX1" s="61" t="s">
        <v>66</v>
      </c>
      <c r="AY1" s="62" t="s">
        <v>68</v>
      </c>
      <c r="AZ1" s="62" t="s">
        <v>69</v>
      </c>
      <c r="BA1" s="62" t="s">
        <v>172</v>
      </c>
      <c r="BB1" s="62" t="s">
        <v>173</v>
      </c>
      <c r="BC1" s="62" t="s">
        <v>174</v>
      </c>
      <c r="BD1" s="35" t="s">
        <v>175</v>
      </c>
      <c r="BE1" s="35" t="s">
        <v>176</v>
      </c>
      <c r="BF1" s="35" t="s">
        <v>177</v>
      </c>
      <c r="BG1" s="35" t="s">
        <v>178</v>
      </c>
      <c r="BH1" s="35" t="s">
        <v>179</v>
      </c>
      <c r="BI1" s="64" t="s">
        <v>70</v>
      </c>
      <c r="BJ1" s="65" t="s">
        <v>71</v>
      </c>
      <c r="BK1" s="65" t="s">
        <v>72</v>
      </c>
      <c r="BL1" s="64" t="s">
        <v>73</v>
      </c>
      <c r="BM1" s="67" t="s">
        <v>74</v>
      </c>
      <c r="BN1" s="67" t="s">
        <v>75</v>
      </c>
      <c r="BO1" s="67" t="s">
        <v>76</v>
      </c>
      <c r="BP1" s="67" t="s">
        <v>77</v>
      </c>
      <c r="BQ1" s="67" t="s">
        <v>279</v>
      </c>
      <c r="BR1" s="67" t="s">
        <v>281</v>
      </c>
      <c r="BS1" s="68" t="s">
        <v>280</v>
      </c>
      <c r="BT1" s="67" t="s">
        <v>309</v>
      </c>
      <c r="BU1" s="67" t="s">
        <v>310</v>
      </c>
      <c r="BV1" s="68" t="s">
        <v>311</v>
      </c>
      <c r="BW1" s="67" t="s">
        <v>78</v>
      </c>
      <c r="BX1" s="68" t="s">
        <v>79</v>
      </c>
      <c r="BY1" s="73" t="s">
        <v>67</v>
      </c>
      <c r="BZ1" s="103" t="s">
        <v>80</v>
      </c>
      <c r="CA1" s="37" t="s">
        <v>180</v>
      </c>
      <c r="CB1" s="78" t="s">
        <v>249</v>
      </c>
      <c r="CC1" s="76" t="s">
        <v>253</v>
      </c>
      <c r="CD1" s="76" t="s">
        <v>254</v>
      </c>
      <c r="CE1" s="77" t="s">
        <v>81</v>
      </c>
      <c r="CF1" s="79" t="s">
        <v>82</v>
      </c>
      <c r="CG1" s="79" t="s">
        <v>181</v>
      </c>
      <c r="CH1" s="79" t="s">
        <v>182</v>
      </c>
      <c r="CI1" s="79" t="s">
        <v>183</v>
      </c>
      <c r="CJ1" s="79" t="s">
        <v>184</v>
      </c>
      <c r="CK1" s="79" t="s">
        <v>248</v>
      </c>
      <c r="CL1" s="80" t="s">
        <v>185</v>
      </c>
      <c r="CM1" s="83" t="s">
        <v>186</v>
      </c>
      <c r="CN1" s="81" t="s">
        <v>187</v>
      </c>
      <c r="CO1" s="82" t="s">
        <v>83</v>
      </c>
      <c r="CP1" s="84" t="s">
        <v>188</v>
      </c>
      <c r="CQ1" s="140" t="s">
        <v>189</v>
      </c>
      <c r="CR1" s="84" t="s">
        <v>190</v>
      </c>
      <c r="CS1" s="85" t="s">
        <v>191</v>
      </c>
      <c r="CT1" s="85" t="s">
        <v>192</v>
      </c>
      <c r="CU1" s="85" t="s">
        <v>193</v>
      </c>
      <c r="CV1" s="86" t="s">
        <v>194</v>
      </c>
      <c r="CW1" s="86" t="s">
        <v>195</v>
      </c>
      <c r="CX1" s="87" t="s">
        <v>196</v>
      </c>
      <c r="CY1" s="88" t="s">
        <v>247</v>
      </c>
      <c r="CZ1" s="88" t="s">
        <v>197</v>
      </c>
      <c r="DA1" s="88" t="s">
        <v>198</v>
      </c>
      <c r="DB1" s="88" t="s">
        <v>199</v>
      </c>
      <c r="DC1" s="88" t="s">
        <v>200</v>
      </c>
      <c r="DD1" s="88" t="s">
        <v>201</v>
      </c>
      <c r="DE1" s="89" t="s">
        <v>202</v>
      </c>
      <c r="DF1" s="67" t="s">
        <v>203</v>
      </c>
      <c r="DG1" s="90" t="s">
        <v>84</v>
      </c>
      <c r="DH1" s="91" t="s">
        <v>85</v>
      </c>
      <c r="DI1" s="84" t="s">
        <v>86</v>
      </c>
      <c r="DJ1" s="84" t="s">
        <v>87</v>
      </c>
      <c r="DK1" s="84" t="s">
        <v>88</v>
      </c>
      <c r="DL1" s="84" t="s">
        <v>89</v>
      </c>
      <c r="DM1" s="85" t="s">
        <v>90</v>
      </c>
      <c r="DN1" s="135" t="s">
        <v>204</v>
      </c>
      <c r="DO1" s="136" t="s">
        <v>205</v>
      </c>
      <c r="DP1" s="94" t="s">
        <v>206</v>
      </c>
      <c r="DQ1" s="94" t="s">
        <v>207</v>
      </c>
      <c r="DR1" s="95" t="s">
        <v>208</v>
      </c>
      <c r="DS1" s="74" t="s">
        <v>209</v>
      </c>
      <c r="DT1" s="74" t="s">
        <v>210</v>
      </c>
      <c r="DU1" s="74" t="s">
        <v>211</v>
      </c>
      <c r="DV1" s="74" t="s">
        <v>212</v>
      </c>
      <c r="DW1" s="74" t="s">
        <v>213</v>
      </c>
      <c r="DX1" s="74" t="s">
        <v>214</v>
      </c>
      <c r="DY1" s="75" t="s">
        <v>215</v>
      </c>
      <c r="DZ1" s="38" t="s">
        <v>216</v>
      </c>
      <c r="EA1" s="39" t="s">
        <v>217</v>
      </c>
      <c r="EB1" s="92" t="s">
        <v>218</v>
      </c>
      <c r="EC1" s="92" t="s">
        <v>219</v>
      </c>
      <c r="ED1" s="92" t="s">
        <v>220</v>
      </c>
      <c r="EE1" s="92" t="s">
        <v>221</v>
      </c>
      <c r="EF1" s="93" t="s">
        <v>222</v>
      </c>
      <c r="EG1" s="71" t="s">
        <v>223</v>
      </c>
      <c r="EH1" s="71" t="s">
        <v>224</v>
      </c>
      <c r="EI1" s="71" t="s">
        <v>225</v>
      </c>
      <c r="EJ1" s="71" t="s">
        <v>226</v>
      </c>
      <c r="EK1" s="72" t="s">
        <v>227</v>
      </c>
      <c r="EL1" s="95" t="s">
        <v>228</v>
      </c>
      <c r="EN1" s="15"/>
      <c r="EO1" s="15"/>
    </row>
    <row r="2" spans="1:145" x14ac:dyDescent="0.3">
      <c r="A2" s="9" t="s">
        <v>303</v>
      </c>
      <c r="B2" s="15">
        <v>203</v>
      </c>
      <c r="C2" s="15">
        <v>1</v>
      </c>
      <c r="D2" s="15">
        <f>15.2-7.4</f>
        <v>7.7999999999999989</v>
      </c>
      <c r="E2" s="15">
        <v>42</v>
      </c>
      <c r="F2" s="15">
        <v>28</v>
      </c>
      <c r="G2" s="15">
        <v>0</v>
      </c>
      <c r="H2" s="15">
        <v>0</v>
      </c>
      <c r="I2" s="147">
        <v>999</v>
      </c>
      <c r="J2" s="147">
        <v>1</v>
      </c>
      <c r="K2" s="147">
        <v>0</v>
      </c>
      <c r="L2" s="147">
        <v>0</v>
      </c>
      <c r="M2" s="147">
        <v>0</v>
      </c>
      <c r="N2" s="147">
        <v>0</v>
      </c>
      <c r="O2" s="147">
        <v>0</v>
      </c>
      <c r="P2" s="148">
        <v>1</v>
      </c>
      <c r="Q2" s="149">
        <v>0.14000000000000001</v>
      </c>
      <c r="R2" s="148">
        <v>5</v>
      </c>
      <c r="S2" s="147">
        <v>218</v>
      </c>
      <c r="T2" s="147">
        <v>0</v>
      </c>
      <c r="U2" s="147">
        <v>7</v>
      </c>
      <c r="V2" s="147">
        <v>259</v>
      </c>
      <c r="W2" s="147">
        <v>0</v>
      </c>
      <c r="X2" s="147">
        <v>7</v>
      </c>
      <c r="Y2" s="147">
        <v>294</v>
      </c>
      <c r="Z2" s="147">
        <v>0</v>
      </c>
      <c r="AA2" s="147">
        <v>7</v>
      </c>
      <c r="AB2" s="15">
        <v>294</v>
      </c>
      <c r="AC2" s="15">
        <v>2.5</v>
      </c>
      <c r="AD2" s="15">
        <v>200</v>
      </c>
      <c r="AE2" s="15">
        <v>9</v>
      </c>
      <c r="AF2" s="15">
        <v>2</v>
      </c>
      <c r="AG2" s="15">
        <v>0</v>
      </c>
      <c r="AH2" s="15">
        <v>0</v>
      </c>
      <c r="AI2" s="15">
        <v>2</v>
      </c>
      <c r="AJ2" s="15">
        <v>999</v>
      </c>
      <c r="AK2" s="15">
        <v>999</v>
      </c>
      <c r="AL2" s="15">
        <v>999</v>
      </c>
      <c r="AM2" s="15">
        <v>999</v>
      </c>
      <c r="AN2" s="16">
        <v>999</v>
      </c>
      <c r="AO2" s="15">
        <v>1</v>
      </c>
      <c r="AP2" s="15">
        <v>999</v>
      </c>
      <c r="AQ2" s="21">
        <v>999</v>
      </c>
      <c r="AR2" s="15">
        <v>999</v>
      </c>
      <c r="AS2" s="21">
        <v>999</v>
      </c>
      <c r="AT2" s="15">
        <v>999</v>
      </c>
      <c r="AU2" s="21">
        <v>999</v>
      </c>
      <c r="AV2" s="15">
        <v>999</v>
      </c>
      <c r="AW2" s="21">
        <v>999</v>
      </c>
      <c r="AX2" s="15">
        <v>578</v>
      </c>
      <c r="AY2" s="21">
        <v>1</v>
      </c>
      <c r="AZ2" s="15">
        <v>2</v>
      </c>
      <c r="BA2" s="15">
        <v>0</v>
      </c>
      <c r="BB2" s="15">
        <v>0</v>
      </c>
      <c r="BC2" s="15">
        <v>0</v>
      </c>
      <c r="BD2" s="17">
        <v>3</v>
      </c>
      <c r="BE2" s="17">
        <v>999</v>
      </c>
      <c r="BF2" s="17">
        <v>999</v>
      </c>
      <c r="BG2" s="17">
        <v>0</v>
      </c>
      <c r="BH2" s="17">
        <v>0</v>
      </c>
      <c r="BI2" s="29">
        <v>2</v>
      </c>
      <c r="BJ2" s="29">
        <v>1</v>
      </c>
      <c r="BK2" s="30">
        <v>0</v>
      </c>
      <c r="BL2" s="66">
        <v>150</v>
      </c>
      <c r="BM2" s="30">
        <v>0.01</v>
      </c>
      <c r="BN2" s="29">
        <v>2</v>
      </c>
      <c r="BO2" s="29">
        <v>1</v>
      </c>
      <c r="BP2" s="29">
        <v>0</v>
      </c>
      <c r="BQ2" s="29">
        <v>453</v>
      </c>
      <c r="BR2" s="29">
        <v>110</v>
      </c>
      <c r="BS2" s="31">
        <v>2</v>
      </c>
      <c r="BT2" s="29">
        <v>489</v>
      </c>
      <c r="BU2" s="29">
        <v>46</v>
      </c>
      <c r="BV2" s="31">
        <v>2</v>
      </c>
      <c r="BW2" s="30">
        <v>1</v>
      </c>
      <c r="BX2" s="31">
        <v>0</v>
      </c>
      <c r="BY2" s="30">
        <v>999</v>
      </c>
      <c r="BZ2" s="15" t="s">
        <v>312</v>
      </c>
      <c r="CA2" s="17">
        <v>2</v>
      </c>
      <c r="CB2" s="18">
        <v>0</v>
      </c>
      <c r="CC2" s="29">
        <v>2</v>
      </c>
      <c r="CD2" s="29">
        <v>1</v>
      </c>
      <c r="CE2" s="31">
        <v>0</v>
      </c>
      <c r="CF2" s="29">
        <v>2</v>
      </c>
      <c r="CG2" s="29">
        <v>2</v>
      </c>
      <c r="CH2" s="29">
        <v>0.77</v>
      </c>
      <c r="CI2" s="29">
        <v>0.79830000000000001</v>
      </c>
      <c r="CJ2" s="29">
        <v>0.2</v>
      </c>
      <c r="CK2" s="29">
        <v>0</v>
      </c>
      <c r="CL2" s="31">
        <v>0</v>
      </c>
      <c r="CM2" s="22">
        <v>2</v>
      </c>
      <c r="CN2" s="15">
        <v>2</v>
      </c>
      <c r="CO2" s="16">
        <v>999</v>
      </c>
      <c r="CP2" s="29">
        <v>2</v>
      </c>
      <c r="CQ2" s="15">
        <v>2</v>
      </c>
      <c r="CR2" s="29">
        <v>2</v>
      </c>
      <c r="CS2" s="29">
        <v>2</v>
      </c>
      <c r="CT2" s="29">
        <v>999</v>
      </c>
      <c r="CU2" s="31" t="s">
        <v>269</v>
      </c>
      <c r="CV2" s="29">
        <v>1</v>
      </c>
      <c r="CW2" s="29">
        <v>0</v>
      </c>
      <c r="CX2" s="31">
        <v>0</v>
      </c>
      <c r="CY2" s="29">
        <v>1</v>
      </c>
      <c r="CZ2" s="29">
        <v>0.5</v>
      </c>
      <c r="DA2" s="29">
        <v>1.3</v>
      </c>
      <c r="DB2" s="29">
        <v>0.25</v>
      </c>
      <c r="DC2" s="29">
        <v>2</v>
      </c>
      <c r="DD2" s="29">
        <v>999</v>
      </c>
      <c r="DE2" s="31">
        <v>0</v>
      </c>
      <c r="DF2" s="29">
        <v>1</v>
      </c>
      <c r="DG2" s="32">
        <v>1</v>
      </c>
      <c r="DH2" s="32">
        <v>2</v>
      </c>
      <c r="DI2" s="29">
        <v>2</v>
      </c>
      <c r="DJ2" s="29">
        <v>1</v>
      </c>
      <c r="DK2" s="29">
        <v>0</v>
      </c>
      <c r="DL2" s="29">
        <v>999</v>
      </c>
      <c r="DM2" s="31">
        <v>0.1</v>
      </c>
      <c r="DN2" s="29">
        <v>1</v>
      </c>
      <c r="DO2" s="31">
        <v>710</v>
      </c>
      <c r="DP2" s="29">
        <v>1</v>
      </c>
      <c r="DQ2" s="29">
        <v>1.5</v>
      </c>
      <c r="DR2" s="31">
        <v>0.6</v>
      </c>
      <c r="DS2" s="15">
        <v>1</v>
      </c>
      <c r="DT2" s="96">
        <v>0.7</v>
      </c>
      <c r="DU2" s="96">
        <v>0</v>
      </c>
      <c r="DV2" s="15">
        <v>999</v>
      </c>
      <c r="DW2" s="96">
        <v>0</v>
      </c>
      <c r="DX2" s="15">
        <v>999</v>
      </c>
      <c r="DY2" s="14">
        <v>0</v>
      </c>
      <c r="DZ2" s="17">
        <v>2</v>
      </c>
      <c r="EA2" s="18">
        <v>999</v>
      </c>
      <c r="EB2" s="29">
        <v>2</v>
      </c>
      <c r="EC2" s="29">
        <v>1.1000000000000001</v>
      </c>
      <c r="ED2" s="29">
        <v>1.3</v>
      </c>
      <c r="EE2" s="29">
        <v>5.0000000000000001E-3</v>
      </c>
      <c r="EF2" s="31">
        <v>0.05</v>
      </c>
      <c r="EG2" s="29">
        <v>2</v>
      </c>
      <c r="EH2" s="29">
        <v>30</v>
      </c>
      <c r="EI2" s="29">
        <v>1.6</v>
      </c>
      <c r="EJ2" s="29">
        <v>30</v>
      </c>
      <c r="EK2" s="31">
        <v>1.6</v>
      </c>
      <c r="EL2" s="32">
        <v>2</v>
      </c>
      <c r="EN2" s="15"/>
      <c r="EO2" s="15"/>
    </row>
    <row r="3" spans="1:145" x14ac:dyDescent="0.3">
      <c r="A3" s="9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Q3" s="96"/>
      <c r="S3" s="96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6"/>
      <c r="AO3" s="15"/>
      <c r="AP3" s="15"/>
      <c r="AQ3" s="21"/>
      <c r="AR3" s="15"/>
      <c r="AS3" s="21"/>
      <c r="AT3" s="15"/>
      <c r="AU3" s="21"/>
      <c r="AV3" s="15"/>
      <c r="AW3" s="21"/>
      <c r="AX3" s="15"/>
      <c r="AY3" s="21"/>
      <c r="AZ3" s="15"/>
      <c r="BA3" s="15"/>
      <c r="BB3" s="15"/>
      <c r="BC3" s="15"/>
      <c r="BL3" s="66"/>
      <c r="BS3" s="31"/>
      <c r="BV3" s="31"/>
      <c r="BZ3" s="15"/>
      <c r="CA3" s="17"/>
      <c r="CC3" s="29"/>
      <c r="CM3" s="22"/>
      <c r="CN3" s="15"/>
      <c r="CO3" s="16"/>
      <c r="CQ3" s="15"/>
      <c r="DS3" s="15"/>
      <c r="DT3" s="96"/>
      <c r="DU3" s="96"/>
      <c r="DV3" s="15"/>
      <c r="DW3" s="96"/>
      <c r="DX3" s="15"/>
      <c r="DY3" s="14"/>
      <c r="EN3" s="15"/>
      <c r="EO3" s="15"/>
    </row>
    <row r="4" spans="1:145" x14ac:dyDescent="0.3">
      <c r="A4" s="9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Q4" s="96"/>
      <c r="S4" s="96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  <c r="AO4" s="15"/>
      <c r="AP4" s="15"/>
      <c r="AQ4" s="21"/>
      <c r="AR4" s="15"/>
      <c r="AS4" s="21"/>
      <c r="AT4" s="15"/>
      <c r="AU4" s="21"/>
      <c r="AV4" s="15"/>
      <c r="AW4" s="21"/>
      <c r="AX4" s="15"/>
      <c r="AY4" s="21"/>
      <c r="AZ4" s="15"/>
      <c r="BA4" s="15"/>
      <c r="BB4" s="15"/>
      <c r="BC4" s="15"/>
      <c r="BL4" s="66"/>
      <c r="BS4" s="31"/>
      <c r="BV4" s="31"/>
      <c r="BZ4" s="15"/>
      <c r="CA4" s="17"/>
      <c r="CC4" s="29"/>
      <c r="CM4" s="22"/>
      <c r="CN4" s="15"/>
      <c r="CO4" s="16"/>
      <c r="CQ4" s="15"/>
      <c r="DS4" s="15"/>
      <c r="DT4" s="96"/>
      <c r="DU4" s="96"/>
      <c r="DV4" s="15"/>
      <c r="DW4" s="96"/>
      <c r="DX4" s="15"/>
      <c r="DY4" s="14"/>
    </row>
    <row r="5" spans="1:145" x14ac:dyDescent="0.3">
      <c r="A5" s="9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Q5" s="96"/>
      <c r="S5" s="96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6"/>
      <c r="AO5" s="15"/>
      <c r="AP5" s="15"/>
      <c r="AQ5" s="21"/>
      <c r="AR5" s="15"/>
      <c r="AS5" s="21"/>
      <c r="AT5" s="15"/>
      <c r="AU5" s="21"/>
      <c r="AV5" s="15"/>
      <c r="AW5" s="21"/>
      <c r="AX5" s="15"/>
      <c r="AY5" s="21"/>
      <c r="AZ5" s="15"/>
      <c r="BA5" s="15"/>
      <c r="BB5" s="15"/>
      <c r="BC5" s="15"/>
      <c r="BL5" s="66"/>
      <c r="BS5" s="31"/>
      <c r="BV5" s="31"/>
      <c r="BZ5" s="15"/>
      <c r="CA5" s="17"/>
      <c r="CC5" s="29"/>
      <c r="CM5" s="22"/>
      <c r="CN5" s="15"/>
      <c r="CO5" s="16"/>
      <c r="CQ5" s="15"/>
      <c r="DS5" s="15"/>
      <c r="DT5" s="96"/>
      <c r="DU5" s="96"/>
      <c r="DV5" s="15"/>
      <c r="DW5" s="96"/>
      <c r="DX5" s="15"/>
      <c r="DY5" s="14"/>
    </row>
    <row r="6" spans="1:145" x14ac:dyDescent="0.3">
      <c r="A6" s="9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Q6" s="96"/>
      <c r="S6" s="96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6"/>
      <c r="AO6" s="15"/>
      <c r="AP6" s="15"/>
      <c r="AQ6" s="21"/>
      <c r="AR6" s="15"/>
      <c r="AS6" s="21"/>
      <c r="AT6" s="15"/>
      <c r="AU6" s="21"/>
      <c r="AV6" s="15"/>
      <c r="AW6" s="21"/>
      <c r="AX6" s="15"/>
      <c r="AY6" s="21"/>
      <c r="AZ6" s="15"/>
      <c r="BA6" s="15"/>
      <c r="BB6" s="15"/>
      <c r="BC6" s="15"/>
      <c r="BL6" s="66"/>
      <c r="BQ6" s="11"/>
      <c r="BR6" s="11"/>
      <c r="BS6" s="139"/>
      <c r="BT6" s="11"/>
      <c r="BU6" s="11"/>
      <c r="BV6" s="139"/>
      <c r="BZ6" s="15"/>
      <c r="CA6" s="17"/>
      <c r="CC6" s="29"/>
      <c r="CM6" s="22"/>
      <c r="CN6" s="15"/>
      <c r="CO6" s="16"/>
      <c r="CQ6" s="15"/>
      <c r="DS6" s="15"/>
      <c r="DT6" s="96"/>
      <c r="DU6" s="96"/>
      <c r="DV6" s="15"/>
      <c r="DW6" s="96"/>
      <c r="DX6" s="15"/>
      <c r="DY6" s="14"/>
    </row>
  </sheetData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defaultColWidth="8.88671875" defaultRowHeight="14.4" x14ac:dyDescent="0.3"/>
  <cols>
    <col min="1" max="1" width="18.5546875" style="1" bestFit="1" customWidth="1"/>
    <col min="2" max="2" width="3.5546875" customWidth="1"/>
    <col min="3" max="3" width="7.33203125" bestFit="1" customWidth="1"/>
    <col min="4" max="4" width="6.44140625" style="20" bestFit="1" customWidth="1"/>
    <col min="5" max="5" width="8" bestFit="1" customWidth="1"/>
    <col min="6" max="6" width="5.5546875" bestFit="1" customWidth="1"/>
    <col min="7" max="7" width="5.6640625" style="9" bestFit="1" customWidth="1"/>
    <col min="8" max="8" width="8.33203125" bestFit="1" customWidth="1"/>
    <col min="9" max="9" width="7.6640625" bestFit="1" customWidth="1"/>
    <col min="10" max="10" width="13.5546875" bestFit="1" customWidth="1"/>
    <col min="11" max="11" width="11.109375" bestFit="1" customWidth="1"/>
    <col min="12" max="12" width="10" bestFit="1" customWidth="1"/>
    <col min="13" max="13" width="8.6640625" bestFit="1" customWidth="1"/>
    <col min="14" max="14" width="6.6640625" bestFit="1" customWidth="1"/>
    <col min="15" max="15" width="6.5546875" bestFit="1" customWidth="1"/>
    <col min="16" max="16" width="11.5546875" bestFit="1" customWidth="1"/>
    <col min="17" max="17" width="9.44140625" bestFit="1" customWidth="1"/>
    <col min="18" max="18" width="7.88671875" bestFit="1" customWidth="1"/>
    <col min="19" max="19" width="8.88671875" bestFit="1" customWidth="1"/>
    <col min="20" max="20" width="10.5546875" style="9" bestFit="1" customWidth="1"/>
    <col min="21" max="21" width="3" customWidth="1"/>
    <col min="22" max="22" width="6.88671875" bestFit="1" customWidth="1"/>
    <col min="23" max="23" width="6.6640625" bestFit="1" customWidth="1"/>
    <col min="24" max="24" width="6.88671875" bestFit="1" customWidth="1"/>
    <col min="25" max="25" width="11.6640625" bestFit="1" customWidth="1"/>
    <col min="26" max="26" width="12.44140625" bestFit="1" customWidth="1"/>
    <col min="27" max="27" width="9" style="9" bestFit="1" customWidth="1"/>
    <col min="28" max="28" width="9.33203125" bestFit="1" customWidth="1"/>
    <col min="29" max="29" width="3.88671875" bestFit="1" customWidth="1"/>
    <col min="30" max="30" width="4" customWidth="1"/>
    <col min="31" max="31" width="5.88671875" bestFit="1" customWidth="1"/>
    <col min="32" max="32" width="6" customWidth="1"/>
    <col min="33" max="33" width="8.5546875" style="9" bestFit="1" customWidth="1"/>
    <col min="34" max="1024" width="10.5546875" customWidth="1"/>
  </cols>
  <sheetData>
    <row r="1" spans="1:33" ht="15" thickBot="1" x14ac:dyDescent="0.35">
      <c r="A1" s="6" t="s">
        <v>91</v>
      </c>
      <c r="B1" s="69" t="s">
        <v>92</v>
      </c>
      <c r="C1" s="69" t="s">
        <v>93</v>
      </c>
      <c r="D1" s="19" t="s">
        <v>231</v>
      </c>
      <c r="E1" s="69" t="s">
        <v>94</v>
      </c>
      <c r="F1" s="69" t="s">
        <v>95</v>
      </c>
      <c r="G1" s="70" t="s">
        <v>96</v>
      </c>
      <c r="H1" s="62" t="s">
        <v>97</v>
      </c>
      <c r="I1" s="62" t="s">
        <v>98</v>
      </c>
      <c r="J1" s="62" t="s">
        <v>99</v>
      </c>
      <c r="K1" s="62" t="s">
        <v>100</v>
      </c>
      <c r="L1" s="62" t="s">
        <v>101</v>
      </c>
      <c r="M1" s="62" t="s">
        <v>102</v>
      </c>
      <c r="N1" s="62" t="s">
        <v>103</v>
      </c>
      <c r="O1" s="62" t="s">
        <v>104</v>
      </c>
      <c r="P1" s="62" t="s">
        <v>105</v>
      </c>
      <c r="Q1" s="62" t="s">
        <v>106</v>
      </c>
      <c r="R1" s="62" t="s">
        <v>107</v>
      </c>
      <c r="S1" s="62" t="s">
        <v>108</v>
      </c>
      <c r="T1" s="63" t="s">
        <v>109</v>
      </c>
      <c r="U1" s="97" t="s">
        <v>110</v>
      </c>
      <c r="V1" s="97" t="s">
        <v>111</v>
      </c>
      <c r="W1" s="97" t="s">
        <v>112</v>
      </c>
      <c r="X1" s="97" t="s">
        <v>113</v>
      </c>
      <c r="Y1" s="97" t="s">
        <v>114</v>
      </c>
      <c r="Z1" s="97" t="s">
        <v>115</v>
      </c>
      <c r="AA1" s="98" t="s">
        <v>116</v>
      </c>
      <c r="AB1" s="57" t="s">
        <v>117</v>
      </c>
      <c r="AC1" s="57" t="s">
        <v>118</v>
      </c>
      <c r="AD1" s="57" t="s">
        <v>119</v>
      </c>
      <c r="AE1" s="57" t="s">
        <v>120</v>
      </c>
      <c r="AF1" s="57" t="s">
        <v>121</v>
      </c>
      <c r="AG1" s="58" t="s">
        <v>122</v>
      </c>
    </row>
    <row r="2" spans="1:33" x14ac:dyDescent="0.3">
      <c r="A2" t="s">
        <v>304</v>
      </c>
      <c r="B2" s="104">
        <v>2.5</v>
      </c>
      <c r="C2">
        <v>0</v>
      </c>
      <c r="D2" s="20">
        <v>0.02</v>
      </c>
      <c r="E2">
        <v>49</v>
      </c>
      <c r="F2">
        <v>1000</v>
      </c>
      <c r="G2" s="9">
        <f>-6.2 * LN(2.5) + 17.5</f>
        <v>11.818997462380239</v>
      </c>
      <c r="H2">
        <v>1</v>
      </c>
      <c r="I2">
        <v>1.26</v>
      </c>
      <c r="J2">
        <v>1</v>
      </c>
      <c r="K2">
        <v>1</v>
      </c>
      <c r="L2">
        <v>0</v>
      </c>
      <c r="M2">
        <v>0</v>
      </c>
      <c r="N2">
        <v>-0.5</v>
      </c>
      <c r="O2">
        <v>-0.55000000000000004</v>
      </c>
      <c r="P2">
        <v>500</v>
      </c>
      <c r="Q2">
        <v>1.3</v>
      </c>
      <c r="R2">
        <v>0.8</v>
      </c>
      <c r="S2">
        <v>1</v>
      </c>
      <c r="T2" s="9">
        <v>-1.4</v>
      </c>
      <c r="U2">
        <v>50</v>
      </c>
      <c r="V2">
        <v>0.23</v>
      </c>
      <c r="W2">
        <v>0.18</v>
      </c>
      <c r="X2">
        <v>0.62</v>
      </c>
      <c r="Y2">
        <v>1</v>
      </c>
      <c r="Z2">
        <v>1</v>
      </c>
      <c r="AA2" s="9">
        <v>2</v>
      </c>
      <c r="AB2">
        <v>0.7</v>
      </c>
      <c r="AC2">
        <v>6</v>
      </c>
      <c r="AD2">
        <v>0.5</v>
      </c>
      <c r="AE2">
        <v>0.16</v>
      </c>
      <c r="AF2">
        <v>4.0000000000000001E-3</v>
      </c>
      <c r="AG2" s="9">
        <v>0.59</v>
      </c>
    </row>
    <row r="3" spans="1:33" x14ac:dyDescent="0.3">
      <c r="A3"/>
      <c r="B3" s="104"/>
    </row>
    <row r="4" spans="1:33" x14ac:dyDescent="0.3">
      <c r="A4"/>
      <c r="B4" s="104"/>
    </row>
    <row r="5" spans="1:33" x14ac:dyDescent="0.3">
      <c r="A5"/>
      <c r="B5" s="104"/>
      <c r="D5" s="105"/>
    </row>
    <row r="6" spans="1:33" x14ac:dyDescent="0.3">
      <c r="A6"/>
      <c r="B6" s="104"/>
    </row>
  </sheetData>
  <sortState ref="A2:AG205">
    <sortCondition ref="A2:A205"/>
  </sortState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1126-37C8-4E1A-A90D-186D3B10C9C3}">
  <dimension ref="A1:Q3"/>
  <sheetViews>
    <sheetView zoomScale="85" zoomScaleNormal="85" workbookViewId="0">
      <pane ySplit="1" topLeftCell="A2" activePane="bottomLeft" state="frozen"/>
      <selection pane="bottomLeft" activeCell="N23" sqref="N23"/>
    </sheetView>
  </sheetViews>
  <sheetFormatPr defaultColWidth="11.5546875" defaultRowHeight="14.4" x14ac:dyDescent="0.3"/>
  <cols>
    <col min="1" max="1" width="11.77734375" bestFit="1" customWidth="1"/>
    <col min="2" max="2" width="5.109375" bestFit="1" customWidth="1"/>
    <col min="3" max="3" width="3.6640625" bestFit="1" customWidth="1"/>
    <col min="4" max="4" width="3" bestFit="1" customWidth="1"/>
    <col min="5" max="5" width="4" bestFit="1" customWidth="1"/>
    <col min="6" max="9" width="5.5546875" bestFit="1" customWidth="1"/>
    <col min="10" max="13" width="7.44140625" bestFit="1" customWidth="1"/>
    <col min="14" max="14" width="7" bestFit="1" customWidth="1"/>
    <col min="15" max="15" width="7.33203125" bestFit="1" customWidth="1"/>
    <col min="16" max="16" width="8.44140625" bestFit="1" customWidth="1"/>
    <col min="17" max="17" width="7" bestFit="1" customWidth="1"/>
  </cols>
  <sheetData>
    <row r="1" spans="1:17" x14ac:dyDescent="0.3">
      <c r="A1" t="s">
        <v>0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 x14ac:dyDescent="0.3">
      <c r="A2" t="s">
        <v>329</v>
      </c>
      <c r="B2">
        <v>2011</v>
      </c>
      <c r="C2">
        <v>3</v>
      </c>
      <c r="D2">
        <v>2</v>
      </c>
      <c r="E2">
        <v>61</v>
      </c>
      <c r="F2" s="4">
        <v>23.386267586773101</v>
      </c>
      <c r="G2" s="4">
        <v>22.363542297957402</v>
      </c>
      <c r="H2" s="4">
        <v>22.0692550026281</v>
      </c>
      <c r="I2" s="4">
        <v>22.400781284138599</v>
      </c>
      <c r="J2" s="4">
        <v>17.074199999999902</v>
      </c>
      <c r="K2" s="4">
        <v>18.640049999999999</v>
      </c>
      <c r="L2" s="4">
        <v>17.7721674107142</v>
      </c>
      <c r="M2" s="4">
        <v>56.329783928571402</v>
      </c>
      <c r="N2" s="4">
        <v>513.25055927721803</v>
      </c>
      <c r="O2" s="4">
        <v>109.816201339285</v>
      </c>
      <c r="P2" s="4"/>
      <c r="Q2" s="4"/>
    </row>
    <row r="3" spans="1:17" x14ac:dyDescent="0.3">
      <c r="A3" t="s">
        <v>329</v>
      </c>
      <c r="B3">
        <v>2011</v>
      </c>
      <c r="C3">
        <v>7</v>
      </c>
      <c r="D3">
        <v>21</v>
      </c>
      <c r="E3">
        <v>202</v>
      </c>
      <c r="F3" s="4"/>
      <c r="G3" s="4"/>
      <c r="H3" s="4"/>
      <c r="I3" s="4"/>
      <c r="J3" s="4"/>
      <c r="K3" s="4"/>
      <c r="L3" s="4"/>
      <c r="M3" s="4"/>
      <c r="N3" s="4"/>
      <c r="O3" s="4"/>
      <c r="P3" s="4">
        <v>15.109229998912699</v>
      </c>
      <c r="Q3" s="4">
        <v>7.3645149124937799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USMs</vt:lpstr>
      <vt:lpstr>Ini</vt:lpstr>
      <vt:lpstr>Soils</vt:lpstr>
      <vt:lpstr>Tec</vt:lpstr>
      <vt:lpstr>Station</vt:lpstr>
      <vt:lpstr>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inra</dc:creator>
  <dc:description/>
  <cp:lastModifiedBy>Oriane BRAUD</cp:lastModifiedBy>
  <cp:revision>11</cp:revision>
  <dcterms:created xsi:type="dcterms:W3CDTF">2019-01-28T10:09:50Z</dcterms:created>
  <dcterms:modified xsi:type="dcterms:W3CDTF">2024-03-14T09:19:02Z</dcterms:modified>
  <dc:language>fr-FR</dc:language>
</cp:coreProperties>
</file>