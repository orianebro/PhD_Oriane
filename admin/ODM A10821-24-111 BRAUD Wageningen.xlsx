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8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D:\Mes Donnees\Oriane_phd\Admin\"/>
    </mc:Choice>
  </mc:AlternateContent>
  <xr:revisionPtr revIDLastSave="0" documentId="13_ncr:1_{10DADACD-C5E8-4F0A-B084-0ECE8A8094B1}" xr6:coauthVersionLast="36" xr6:coauthVersionMax="36" xr10:uidLastSave="{00000000-0000-0000-0000-000000000000}"/>
  <bookViews>
    <workbookView xWindow="1176" yWindow="1176" windowWidth="21600" windowHeight="11292" tabRatio="672" activeTab="2" xr2:uid="{00000000-000D-0000-FFFF-FFFF00000000}"/>
  </bookViews>
  <sheets>
    <sheet name="Aide à la saisie" sheetId="15" r:id="rId1"/>
    <sheet name="ODM" sheetId="13" r:id="rId2"/>
    <sheet name="NDF" sheetId="11" r:id="rId3"/>
    <sheet name="Mention CNIL" sheetId="16" r:id="rId4"/>
    <sheet name="AgoraODM" sheetId="18" r:id="rId5"/>
    <sheet name="AgoraNDF" sheetId="19" r:id="rId6"/>
    <sheet name="Pays" sheetId="12" state="hidden" r:id="rId7"/>
    <sheet name="Organisation" sheetId="3" state="hidden" r:id="rId8"/>
    <sheet name="autres ldv" sheetId="4" state="hidden" r:id="rId9"/>
    <sheet name="Liste Structure" sheetId="21" state="hidden" r:id="rId10"/>
    <sheet name="Liste Activites" sheetId="22" state="hidden" r:id="rId11"/>
    <sheet name="Liste Géo" sheetId="23" state="hidden" r:id="rId12"/>
  </sheets>
  <externalReferences>
    <externalReference r:id="rId13"/>
  </externalReferences>
  <definedNames>
    <definedName name="_xlnm._FilterDatabase" localSheetId="7" hidden="1">Organisation!$B$1:$D$53</definedName>
    <definedName name="_xlnm._FilterDatabase" localSheetId="6" hidden="1">Pays!$A$1:$M$247</definedName>
    <definedName name="Activité_projet">'Liste Activites'!$C$2:$C$115</definedName>
    <definedName name="base">Organisation!$B$2:$D$47</definedName>
    <definedName name="code">Organisation!$A$2:$A$47</definedName>
    <definedName name="code_unité">Organisation!$B$2:$B$47</definedName>
    <definedName name="contrat">'autres ldv'!$J$48:$J$55</definedName>
    <definedName name="conv_is">'autres ldv'!#REF!</definedName>
    <definedName name="convention">'autres ldv'!$A$11:$A$12</definedName>
    <definedName name="departement">Organisation!$A$2:$D$47</definedName>
    <definedName name="FI">'autres ldv'!$B$30</definedName>
    <definedName name="FP">'autres ldv'!$B$31</definedName>
    <definedName name="FR">'autres ldv'!$B$32</definedName>
    <definedName name="Géo">'Liste Géo'!$C$2:$C$260</definedName>
    <definedName name="montant">'autres ldv'!$A$19:$C$21</definedName>
    <definedName name="oui_non">'autres ldv'!$A$15:$A$16</definedName>
    <definedName name="pays">Pays!$A$2:$A$247</definedName>
    <definedName name="PaysRatt">Pays!$A$2:$A$6</definedName>
    <definedName name="PI">'autres ldv'!$B$28</definedName>
    <definedName name="PP">'autres ldv'!$B$29</definedName>
    <definedName name="_xlnm.Print_Area" localSheetId="8">'autres ldv'!$A$1:$K$42</definedName>
    <definedName name="_xlnm.Print_Area" localSheetId="2">NDF!$B$1:$W$166</definedName>
    <definedName name="_xlnm.Print_Area" localSheetId="1">ODM!$A$1:$T$115</definedName>
    <definedName name="Structure" localSheetId="10">'[1]Liste Structure'!$C$2:$C$128</definedName>
    <definedName name="Structure" localSheetId="11">'[1]Liste Structure'!$C$2:$C$128</definedName>
    <definedName name="Structure">'Liste Structure'!$C$2:$C$116</definedName>
    <definedName name="transport">'autres ldv'!$A$6:$A$10</definedName>
    <definedName name="type">'autres ldv'!$A$4:$A$4</definedName>
    <definedName name="unite">Organisation!$C$2:$C$47</definedName>
    <definedName name="vehicule">'autres ldv'!$A$19:$A$21</definedName>
    <definedName name="vehicule_m">'autres ldv'!$A$19:$C$21</definedName>
  </definedNames>
  <calcPr calcId="191029"/>
</workbook>
</file>

<file path=xl/calcChain.xml><?xml version="1.0" encoding="utf-8"?>
<calcChain xmlns="http://schemas.openxmlformats.org/spreadsheetml/2006/main">
  <c r="T145" i="11" l="1"/>
  <c r="I15" i="11" l="1"/>
  <c r="C105" i="21" l="1"/>
  <c r="D105" i="21"/>
  <c r="D13" i="11"/>
  <c r="D14" i="11"/>
  <c r="D20" i="11"/>
  <c r="K14" i="11"/>
  <c r="K20" i="11"/>
  <c r="N13" i="11"/>
  <c r="N14" i="11"/>
  <c r="V3" i="18"/>
  <c r="D128" i="21" l="1"/>
  <c r="C128" i="21"/>
  <c r="D21" i="21"/>
  <c r="C21" i="21"/>
  <c r="D93" i="21" l="1"/>
  <c r="C93" i="21"/>
  <c r="D53" i="21" l="1"/>
  <c r="C53" i="21"/>
  <c r="D43" i="21"/>
  <c r="C43" i="21"/>
  <c r="D34" i="21"/>
  <c r="C34" i="21"/>
  <c r="D33" i="21"/>
  <c r="C33" i="21"/>
  <c r="D32" i="21"/>
  <c r="C32" i="21"/>
  <c r="D27" i="21"/>
  <c r="C27" i="21"/>
  <c r="D26" i="21"/>
  <c r="C26" i="21"/>
  <c r="D25" i="21"/>
  <c r="C25" i="21"/>
  <c r="D24" i="21"/>
  <c r="C24" i="21"/>
  <c r="D23" i="21"/>
  <c r="C23" i="21"/>
  <c r="A10" i="3"/>
  <c r="A19" i="3"/>
  <c r="A20" i="3"/>
  <c r="A30" i="3"/>
  <c r="K3" i="19" l="1"/>
  <c r="L3" i="19" l="1"/>
  <c r="AT3" i="19" l="1"/>
  <c r="U151" i="11" l="1"/>
  <c r="U150" i="11"/>
  <c r="U141" i="11"/>
  <c r="U116" i="11"/>
  <c r="U117" i="11"/>
  <c r="U118" i="11"/>
  <c r="U119" i="11"/>
  <c r="U120" i="11"/>
  <c r="U121" i="11"/>
  <c r="U122" i="11"/>
  <c r="U123" i="11"/>
  <c r="U124" i="11"/>
  <c r="U125" i="11"/>
  <c r="U126" i="11"/>
  <c r="U127" i="11"/>
  <c r="U128" i="11"/>
  <c r="U129" i="11"/>
  <c r="U130" i="11"/>
  <c r="U131" i="11"/>
  <c r="U132" i="11"/>
  <c r="U133" i="11"/>
  <c r="U134" i="11"/>
  <c r="U135" i="11"/>
  <c r="U136" i="11"/>
  <c r="U137" i="11"/>
  <c r="U138" i="11"/>
  <c r="U139" i="11"/>
  <c r="U140" i="11"/>
  <c r="U115" i="11"/>
  <c r="U114" i="11"/>
  <c r="U108" i="11"/>
  <c r="U88" i="11"/>
  <c r="U89" i="11"/>
  <c r="U90" i="11"/>
  <c r="U91" i="11"/>
  <c r="U92" i="11"/>
  <c r="U93" i="11"/>
  <c r="U94" i="11"/>
  <c r="U95" i="11"/>
  <c r="U96" i="11"/>
  <c r="U97" i="11"/>
  <c r="U98" i="11"/>
  <c r="U99" i="11"/>
  <c r="U100" i="11"/>
  <c r="U101" i="11"/>
  <c r="U102" i="11"/>
  <c r="U103" i="11"/>
  <c r="U104" i="11"/>
  <c r="U105" i="11"/>
  <c r="U106" i="11"/>
  <c r="U107" i="11"/>
  <c r="U87" i="11"/>
  <c r="U86" i="11"/>
  <c r="U83" i="11"/>
  <c r="U82" i="11"/>
  <c r="U76" i="11"/>
  <c r="U75" i="11"/>
  <c r="U71" i="11"/>
  <c r="U40" i="11"/>
  <c r="U41" i="11"/>
  <c r="U42" i="11"/>
  <c r="U43" i="11"/>
  <c r="U44" i="11"/>
  <c r="U45" i="11"/>
  <c r="U46" i="11"/>
  <c r="U47" i="11"/>
  <c r="U48" i="11"/>
  <c r="U49" i="11"/>
  <c r="U50" i="11"/>
  <c r="U51" i="11"/>
  <c r="U52" i="11"/>
  <c r="U53" i="11"/>
  <c r="U54" i="11"/>
  <c r="U55" i="11"/>
  <c r="U56" i="11"/>
  <c r="U57" i="11"/>
  <c r="U58" i="11"/>
  <c r="U59" i="11"/>
  <c r="U60" i="11"/>
  <c r="U61" i="11"/>
  <c r="U62" i="11"/>
  <c r="U63" i="11"/>
  <c r="U64" i="11"/>
  <c r="U65" i="11"/>
  <c r="U66" i="11"/>
  <c r="U67" i="11"/>
  <c r="U68" i="11"/>
  <c r="U69" i="11"/>
  <c r="U70" i="11"/>
  <c r="U39" i="11"/>
  <c r="U38" i="11"/>
  <c r="T34" i="11"/>
  <c r="T33" i="11"/>
  <c r="T32" i="11"/>
  <c r="T31" i="11"/>
  <c r="T30" i="11"/>
  <c r="D26" i="11" l="1"/>
  <c r="N5" i="13"/>
  <c r="C96" i="21" l="1"/>
  <c r="C95" i="21"/>
  <c r="E3" i="18" l="1"/>
  <c r="O71" i="13" l="1"/>
  <c r="D8" i="11" l="1"/>
  <c r="X20" i="13" l="1"/>
  <c r="X21" i="13"/>
  <c r="X22" i="13"/>
  <c r="D15" i="11" l="1"/>
  <c r="D16" i="11"/>
  <c r="D17" i="11"/>
  <c r="D18" i="11"/>
  <c r="D19" i="11"/>
  <c r="K15" i="11"/>
  <c r="K16" i="11"/>
  <c r="K17" i="11"/>
  <c r="Q17" i="11" s="1"/>
  <c r="K18" i="11"/>
  <c r="Q18" i="11" s="1"/>
  <c r="K19" i="11"/>
  <c r="Q19" i="11" s="1"/>
  <c r="H3" i="19"/>
  <c r="G3" i="19"/>
  <c r="I13" i="11"/>
  <c r="I14" i="11"/>
  <c r="I20" i="11"/>
  <c r="F7" i="11"/>
  <c r="Y17" i="11" l="1"/>
  <c r="AH3" i="19" s="1"/>
  <c r="Y16" i="11"/>
  <c r="AD3" i="19" s="1"/>
  <c r="Y19" i="11"/>
  <c r="AP3" i="19" s="1"/>
  <c r="Y18" i="11"/>
  <c r="AL3" i="19" s="1"/>
  <c r="Y15" i="11"/>
  <c r="Z3" i="19" s="1"/>
  <c r="Y14" i="11"/>
  <c r="V3" i="19" s="1"/>
  <c r="K26" i="11"/>
  <c r="C41" i="21" l="1"/>
  <c r="C42" i="21"/>
  <c r="C44" i="21"/>
  <c r="C45" i="21"/>
  <c r="C46" i="21"/>
  <c r="C47" i="21"/>
  <c r="C48" i="21"/>
  <c r="C49" i="21"/>
  <c r="C50" i="21"/>
  <c r="C51" i="21"/>
  <c r="C52" i="21"/>
  <c r="C129" i="21"/>
  <c r="D125" i="21"/>
  <c r="D126" i="21"/>
  <c r="D127" i="21"/>
  <c r="D98" i="21"/>
  <c r="D99" i="21"/>
  <c r="D100" i="21"/>
  <c r="D101" i="21"/>
  <c r="D102" i="21"/>
  <c r="D103" i="21"/>
  <c r="D104" i="21"/>
  <c r="D71" i="21"/>
  <c r="D78" i="21"/>
  <c r="D79" i="21"/>
  <c r="D80" i="21"/>
  <c r="D81" i="21"/>
  <c r="D82" i="21"/>
  <c r="D83" i="21"/>
  <c r="D84" i="21"/>
  <c r="D85" i="21"/>
  <c r="D86" i="21"/>
  <c r="D87" i="21"/>
  <c r="D88" i="21"/>
  <c r="D89" i="21"/>
  <c r="D90" i="21"/>
  <c r="D91" i="21"/>
  <c r="D92" i="21"/>
  <c r="D72" i="21"/>
  <c r="D73" i="21"/>
  <c r="D74" i="21"/>
  <c r="D75" i="21"/>
  <c r="D76" i="21"/>
  <c r="D77" i="21"/>
  <c r="D94" i="21"/>
  <c r="D95" i="21"/>
  <c r="D96" i="21"/>
  <c r="D97" i="21"/>
  <c r="D66" i="21"/>
  <c r="D67" i="21"/>
  <c r="D68" i="21"/>
  <c r="D69" i="21"/>
  <c r="D70" i="21"/>
  <c r="D116" i="21"/>
  <c r="D54" i="21"/>
  <c r="D117" i="21"/>
  <c r="D118" i="21"/>
  <c r="D119" i="21"/>
  <c r="D120" i="21"/>
  <c r="D121" i="21"/>
  <c r="D122" i="21"/>
  <c r="D123" i="21"/>
  <c r="D106" i="21"/>
  <c r="D107" i="21"/>
  <c r="D108" i="21"/>
  <c r="D109" i="21"/>
  <c r="D110" i="21"/>
  <c r="D111" i="21"/>
  <c r="D112" i="21"/>
  <c r="D113" i="21"/>
  <c r="D114" i="21"/>
  <c r="D115" i="21"/>
  <c r="D63" i="21"/>
  <c r="D64" i="21"/>
  <c r="D65" i="21"/>
  <c r="D62" i="21"/>
  <c r="D58" i="21"/>
  <c r="D59" i="21"/>
  <c r="D60" i="21"/>
  <c r="D61" i="21"/>
  <c r="D55" i="21"/>
  <c r="D56" i="21"/>
  <c r="D57" i="21"/>
  <c r="D2" i="21"/>
  <c r="D3" i="21"/>
  <c r="D4" i="21"/>
  <c r="D5" i="21"/>
  <c r="D6" i="21"/>
  <c r="D7" i="21"/>
  <c r="D8" i="21"/>
  <c r="D9" i="21"/>
  <c r="D10" i="21"/>
  <c r="D11" i="21"/>
  <c r="D12" i="21"/>
  <c r="D13" i="21"/>
  <c r="D14" i="21"/>
  <c r="D15" i="21"/>
  <c r="D20" i="21"/>
  <c r="D16" i="21"/>
  <c r="D17" i="21"/>
  <c r="D18" i="21"/>
  <c r="D19" i="21"/>
  <c r="D22" i="21"/>
  <c r="D28" i="21"/>
  <c r="D29" i="21"/>
  <c r="D30" i="21"/>
  <c r="D31" i="21"/>
  <c r="D35" i="21"/>
  <c r="D36" i="21"/>
  <c r="D37" i="21"/>
  <c r="D38" i="21"/>
  <c r="D39" i="21"/>
  <c r="D40" i="21"/>
  <c r="D41" i="21"/>
  <c r="D42" i="21"/>
  <c r="D44" i="21"/>
  <c r="D45" i="21"/>
  <c r="D46" i="21"/>
  <c r="D47" i="21"/>
  <c r="D48" i="21"/>
  <c r="D49" i="21"/>
  <c r="D50" i="21"/>
  <c r="D51" i="21"/>
  <c r="D52" i="21"/>
  <c r="D129" i="21"/>
  <c r="D124" i="21"/>
  <c r="AB20" i="11"/>
  <c r="AC13" i="11"/>
  <c r="AD17" i="11"/>
  <c r="AF17" i="11" s="1"/>
  <c r="AD18" i="11"/>
  <c r="AD19" i="11"/>
  <c r="AF19" i="11" s="1"/>
  <c r="AL14" i="11"/>
  <c r="AB7" i="11"/>
  <c r="S3" i="19" s="1"/>
  <c r="C124" i="21"/>
  <c r="C125" i="21"/>
  <c r="C126" i="21"/>
  <c r="C127" i="21"/>
  <c r="C98" i="21"/>
  <c r="C99" i="21"/>
  <c r="C100" i="21"/>
  <c r="C101" i="21"/>
  <c r="C102" i="21"/>
  <c r="C103" i="21"/>
  <c r="C104" i="21"/>
  <c r="C71" i="21"/>
  <c r="C78" i="21"/>
  <c r="C79" i="21"/>
  <c r="C80" i="21"/>
  <c r="C81" i="21"/>
  <c r="C82" i="21"/>
  <c r="C83" i="21"/>
  <c r="C84" i="21"/>
  <c r="C85" i="21"/>
  <c r="C86" i="21"/>
  <c r="C87" i="21"/>
  <c r="C88" i="21"/>
  <c r="C89" i="21"/>
  <c r="C90" i="21"/>
  <c r="C91" i="21"/>
  <c r="C92" i="21"/>
  <c r="C72" i="21"/>
  <c r="C73" i="21"/>
  <c r="C74" i="21"/>
  <c r="C75" i="21"/>
  <c r="C76" i="21"/>
  <c r="C77" i="21"/>
  <c r="C94" i="21"/>
  <c r="C97" i="21"/>
  <c r="C66" i="21"/>
  <c r="C67" i="21"/>
  <c r="C68" i="21"/>
  <c r="C69" i="21"/>
  <c r="C70" i="21"/>
  <c r="C116" i="21"/>
  <c r="C54" i="21"/>
  <c r="C117" i="21"/>
  <c r="C118" i="21"/>
  <c r="C119" i="21"/>
  <c r="C120" i="21"/>
  <c r="C121" i="21"/>
  <c r="C122" i="21"/>
  <c r="C123" i="21"/>
  <c r="C106" i="21"/>
  <c r="C107" i="21"/>
  <c r="C108" i="21"/>
  <c r="C109" i="21"/>
  <c r="C110" i="21"/>
  <c r="C111" i="21"/>
  <c r="C112" i="21"/>
  <c r="C113" i="21"/>
  <c r="C114" i="21"/>
  <c r="C115" i="21"/>
  <c r="C63" i="21"/>
  <c r="C64" i="21"/>
  <c r="C65" i="21"/>
  <c r="C62" i="21"/>
  <c r="C58" i="21"/>
  <c r="C59" i="21"/>
  <c r="C60" i="21"/>
  <c r="C61" i="21"/>
  <c r="C55" i="21"/>
  <c r="C56" i="21"/>
  <c r="C57" i="21"/>
  <c r="C2" i="21"/>
  <c r="C3" i="21"/>
  <c r="C4" i="21"/>
  <c r="C5" i="21"/>
  <c r="C6" i="21"/>
  <c r="C7" i="21"/>
  <c r="C8" i="21"/>
  <c r="C9" i="21"/>
  <c r="C10" i="21"/>
  <c r="C11" i="21"/>
  <c r="C12" i="21"/>
  <c r="C13" i="21"/>
  <c r="C14" i="21"/>
  <c r="C15" i="21"/>
  <c r="C20" i="21"/>
  <c r="C16" i="21"/>
  <c r="C17" i="21"/>
  <c r="C18" i="21"/>
  <c r="C19" i="21"/>
  <c r="C22" i="21"/>
  <c r="C28" i="21"/>
  <c r="C29" i="21"/>
  <c r="C30" i="21"/>
  <c r="C31" i="21"/>
  <c r="C35" i="21"/>
  <c r="C36" i="21"/>
  <c r="C37" i="21"/>
  <c r="C38" i="21"/>
  <c r="C39" i="21"/>
  <c r="C40" i="21"/>
  <c r="J158" i="11"/>
  <c r="AL15" i="11"/>
  <c r="D3" i="19"/>
  <c r="M3" i="18"/>
  <c r="W18" i="13"/>
  <c r="AA18" i="13" s="1"/>
  <c r="W17" i="13"/>
  <c r="W19" i="13"/>
  <c r="W20" i="13"/>
  <c r="W21" i="13"/>
  <c r="W22" i="13"/>
  <c r="AC17" i="13"/>
  <c r="S19" i="11"/>
  <c r="AQ3" i="19" s="1"/>
  <c r="S18" i="11"/>
  <c r="AN3" i="19" s="1"/>
  <c r="S17" i="11"/>
  <c r="AJ3" i="19" s="1"/>
  <c r="W7" i="13"/>
  <c r="Q7" i="11"/>
  <c r="AB15" i="11"/>
  <c r="N15" i="11"/>
  <c r="AC15" i="11" s="1"/>
  <c r="AB14" i="11"/>
  <c r="E22" i="11"/>
  <c r="H22" i="11"/>
  <c r="J3" i="19" s="1"/>
  <c r="K22" i="11"/>
  <c r="D3" i="4" s="1"/>
  <c r="N22" i="11"/>
  <c r="AE17" i="11"/>
  <c r="AG17" i="11" s="1"/>
  <c r="AH17" i="11" s="1"/>
  <c r="AI17" i="11" s="1"/>
  <c r="AE18" i="11"/>
  <c r="AG18" i="11" s="1"/>
  <c r="AH18" i="11" s="1"/>
  <c r="AI18" i="11" s="1"/>
  <c r="AE19" i="11"/>
  <c r="AG19" i="11" s="1"/>
  <c r="AH19" i="11" s="1"/>
  <c r="AI19" i="11" s="1"/>
  <c r="Y20" i="13"/>
  <c r="Y21" i="13"/>
  <c r="Y22" i="13"/>
  <c r="E3" i="19"/>
  <c r="C3" i="18"/>
  <c r="F3" i="18"/>
  <c r="B2" i="4"/>
  <c r="B3" i="4"/>
  <c r="C252" i="23"/>
  <c r="O72" i="13"/>
  <c r="Q6" i="11"/>
  <c r="AW3" i="19" s="1"/>
  <c r="C192" i="23"/>
  <c r="C2" i="23"/>
  <c r="C3" i="23"/>
  <c r="C4" i="23"/>
  <c r="C5" i="23"/>
  <c r="C6" i="23"/>
  <c r="C7" i="23"/>
  <c r="C8" i="23"/>
  <c r="C9" i="23"/>
  <c r="C10" i="23"/>
  <c r="C11" i="23"/>
  <c r="C12" i="23"/>
  <c r="C13" i="23"/>
  <c r="C14" i="23"/>
  <c r="C15" i="23"/>
  <c r="C16" i="23"/>
  <c r="C17" i="23"/>
  <c r="C18" i="23"/>
  <c r="C19" i="23"/>
  <c r="C20" i="23"/>
  <c r="C21" i="23"/>
  <c r="C22" i="23"/>
  <c r="C23" i="23"/>
  <c r="C24" i="23"/>
  <c r="C25" i="23"/>
  <c r="C26" i="23"/>
  <c r="C27" i="23"/>
  <c r="C28" i="23"/>
  <c r="C29" i="23"/>
  <c r="C30" i="23"/>
  <c r="C31" i="23"/>
  <c r="C32" i="23"/>
  <c r="C33" i="23"/>
  <c r="C34" i="23"/>
  <c r="C35" i="23"/>
  <c r="C36" i="23"/>
  <c r="C37" i="23"/>
  <c r="C38" i="23"/>
  <c r="C39" i="23"/>
  <c r="C40" i="23"/>
  <c r="C41" i="23"/>
  <c r="C42" i="23"/>
  <c r="C43" i="23"/>
  <c r="C44" i="23"/>
  <c r="C45" i="23"/>
  <c r="C46" i="23"/>
  <c r="C47" i="23"/>
  <c r="C48" i="23"/>
  <c r="C49" i="23"/>
  <c r="C50" i="23"/>
  <c r="C51" i="23"/>
  <c r="C52" i="23"/>
  <c r="C53" i="23"/>
  <c r="C54" i="23"/>
  <c r="C55" i="23"/>
  <c r="C56" i="23"/>
  <c r="C57" i="23"/>
  <c r="C58" i="23"/>
  <c r="C59" i="23"/>
  <c r="C60" i="23"/>
  <c r="C61" i="23"/>
  <c r="C62" i="23"/>
  <c r="C63" i="23"/>
  <c r="C64" i="23"/>
  <c r="C65" i="23"/>
  <c r="C66" i="23"/>
  <c r="C67" i="23"/>
  <c r="C68" i="23"/>
  <c r="C69" i="23"/>
  <c r="C70" i="23"/>
  <c r="C71" i="23"/>
  <c r="C72" i="23"/>
  <c r="C73" i="23"/>
  <c r="C74" i="23"/>
  <c r="C75" i="23"/>
  <c r="C76" i="23"/>
  <c r="C77" i="23"/>
  <c r="C78" i="23"/>
  <c r="C79" i="23"/>
  <c r="C80" i="23"/>
  <c r="C81" i="23"/>
  <c r="C82" i="23"/>
  <c r="C83" i="23"/>
  <c r="C84" i="23"/>
  <c r="C85" i="23"/>
  <c r="C86" i="23"/>
  <c r="C87" i="23"/>
  <c r="C88" i="23"/>
  <c r="C89" i="23"/>
  <c r="C90" i="23"/>
  <c r="C91" i="23"/>
  <c r="C92" i="23"/>
  <c r="C93" i="23"/>
  <c r="C94" i="23"/>
  <c r="C95" i="23"/>
  <c r="C96" i="23"/>
  <c r="C97" i="23"/>
  <c r="C98" i="23"/>
  <c r="C99" i="23"/>
  <c r="C100" i="23"/>
  <c r="C101" i="23"/>
  <c r="C102" i="23"/>
  <c r="C103" i="23"/>
  <c r="C104" i="23"/>
  <c r="C105" i="23"/>
  <c r="C106" i="23"/>
  <c r="C107" i="23"/>
  <c r="C108" i="23"/>
  <c r="C109" i="23"/>
  <c r="C110" i="23"/>
  <c r="C111" i="23"/>
  <c r="C112" i="23"/>
  <c r="C113" i="23"/>
  <c r="C114" i="23"/>
  <c r="C115" i="23"/>
  <c r="C116" i="23"/>
  <c r="C117" i="23"/>
  <c r="C118" i="23"/>
  <c r="C119" i="23"/>
  <c r="C120" i="23"/>
  <c r="C121" i="23"/>
  <c r="C122" i="23"/>
  <c r="C123" i="23"/>
  <c r="C124" i="23"/>
  <c r="C125" i="23"/>
  <c r="C126" i="23"/>
  <c r="C127" i="23"/>
  <c r="C128" i="23"/>
  <c r="C129" i="23"/>
  <c r="C130" i="23"/>
  <c r="C131" i="23"/>
  <c r="C132" i="23"/>
  <c r="C133" i="23"/>
  <c r="C134" i="23"/>
  <c r="C135" i="23"/>
  <c r="C136" i="23"/>
  <c r="C137" i="23"/>
  <c r="C138" i="23"/>
  <c r="C139" i="23"/>
  <c r="C140" i="23"/>
  <c r="C141" i="23"/>
  <c r="C142" i="23"/>
  <c r="C143" i="23"/>
  <c r="C144" i="23"/>
  <c r="C145" i="23"/>
  <c r="C146" i="23"/>
  <c r="C147" i="23"/>
  <c r="C148" i="23"/>
  <c r="C149" i="23"/>
  <c r="C150" i="23"/>
  <c r="C151" i="23"/>
  <c r="C152" i="23"/>
  <c r="C153" i="23"/>
  <c r="C154" i="23"/>
  <c r="C155" i="23"/>
  <c r="C156" i="23"/>
  <c r="C157" i="23"/>
  <c r="C158" i="23"/>
  <c r="C159" i="23"/>
  <c r="C160" i="23"/>
  <c r="C161" i="23"/>
  <c r="C162" i="23"/>
  <c r="C163" i="23"/>
  <c r="C164" i="23"/>
  <c r="C165" i="23"/>
  <c r="C166" i="23"/>
  <c r="C167" i="23"/>
  <c r="C168" i="23"/>
  <c r="C169" i="23"/>
  <c r="C170" i="23"/>
  <c r="C171" i="23"/>
  <c r="C172" i="23"/>
  <c r="C173" i="23"/>
  <c r="C174" i="23"/>
  <c r="C175" i="23"/>
  <c r="C176" i="23"/>
  <c r="C177" i="23"/>
  <c r="C178" i="23"/>
  <c r="C179" i="23"/>
  <c r="C180" i="23"/>
  <c r="C181" i="23"/>
  <c r="C182" i="23"/>
  <c r="C183" i="23"/>
  <c r="C184" i="23"/>
  <c r="C185" i="23"/>
  <c r="C186" i="23"/>
  <c r="C187" i="23"/>
  <c r="C188" i="23"/>
  <c r="C189" i="23"/>
  <c r="C190" i="23"/>
  <c r="C191" i="23"/>
  <c r="C193" i="23"/>
  <c r="C194" i="23"/>
  <c r="C195" i="23"/>
  <c r="C196" i="23"/>
  <c r="C197" i="23"/>
  <c r="C198" i="23"/>
  <c r="C199" i="23"/>
  <c r="C200" i="23"/>
  <c r="C201" i="23"/>
  <c r="C202" i="23"/>
  <c r="C203" i="23"/>
  <c r="C204" i="23"/>
  <c r="C205" i="23"/>
  <c r="C206" i="23"/>
  <c r="C207" i="23"/>
  <c r="C208" i="23"/>
  <c r="C209" i="23"/>
  <c r="C210" i="23"/>
  <c r="C211" i="23"/>
  <c r="C212" i="23"/>
  <c r="C213" i="23"/>
  <c r="C214" i="23"/>
  <c r="C215" i="23"/>
  <c r="C216" i="23"/>
  <c r="C217" i="23"/>
  <c r="C218" i="23"/>
  <c r="C219" i="23"/>
  <c r="C220" i="23"/>
  <c r="C221" i="23"/>
  <c r="C222" i="23"/>
  <c r="C223" i="23"/>
  <c r="C224" i="23"/>
  <c r="C225" i="23"/>
  <c r="C226" i="23"/>
  <c r="C227" i="23"/>
  <c r="C228" i="23"/>
  <c r="C229" i="23"/>
  <c r="C230" i="23"/>
  <c r="C231" i="23"/>
  <c r="C232" i="23"/>
  <c r="C233" i="23"/>
  <c r="C234" i="23"/>
  <c r="C235" i="23"/>
  <c r="C236" i="23"/>
  <c r="C237" i="23"/>
  <c r="C238" i="23"/>
  <c r="C239" i="23"/>
  <c r="C240" i="23"/>
  <c r="C241" i="23"/>
  <c r="C242" i="23"/>
  <c r="C243" i="23"/>
  <c r="C244" i="23"/>
  <c r="C245" i="23"/>
  <c r="C246" i="23"/>
  <c r="C247" i="23"/>
  <c r="C248" i="23"/>
  <c r="C249" i="23"/>
  <c r="C250" i="23"/>
  <c r="C251" i="23"/>
  <c r="C253" i="23"/>
  <c r="C254" i="23"/>
  <c r="AL19" i="11"/>
  <c r="AL18" i="11"/>
  <c r="AL17" i="11"/>
  <c r="AL16" i="11"/>
  <c r="N16" i="11"/>
  <c r="AC14" i="11"/>
  <c r="AC18" i="13"/>
  <c r="AC19" i="13"/>
  <c r="AA20" i="13"/>
  <c r="AC20" i="13"/>
  <c r="AA21" i="13"/>
  <c r="AC21" i="13"/>
  <c r="AA22" i="13"/>
  <c r="AC22" i="13"/>
  <c r="X29" i="13"/>
  <c r="O3" i="18" s="1"/>
  <c r="Q41" i="13"/>
  <c r="Q42" i="13"/>
  <c r="H3" i="18"/>
  <c r="M6" i="11"/>
  <c r="F6" i="11"/>
  <c r="D158" i="11" s="1"/>
  <c r="N17" i="11"/>
  <c r="AC17" i="11" s="1"/>
  <c r="N18" i="11"/>
  <c r="AC18" i="11" s="1"/>
  <c r="F3" i="19"/>
  <c r="C3" i="19"/>
  <c r="S14" i="4"/>
  <c r="D5" i="13"/>
  <c r="C113" i="22"/>
  <c r="C112" i="22"/>
  <c r="C111" i="22"/>
  <c r="C110" i="22"/>
  <c r="C109" i="22"/>
  <c r="C108" i="22"/>
  <c r="C107" i="22"/>
  <c r="C106" i="22"/>
  <c r="C105" i="22"/>
  <c r="C104" i="22"/>
  <c r="C103" i="22"/>
  <c r="C102" i="22"/>
  <c r="C101" i="22"/>
  <c r="C100" i="22"/>
  <c r="C99" i="22"/>
  <c r="C98" i="22"/>
  <c r="C97" i="22"/>
  <c r="C96" i="22"/>
  <c r="C95" i="22"/>
  <c r="C94" i="22"/>
  <c r="C93" i="22"/>
  <c r="C92" i="22"/>
  <c r="C91" i="22"/>
  <c r="C90" i="22"/>
  <c r="C89" i="22"/>
  <c r="C88" i="22"/>
  <c r="C87" i="22"/>
  <c r="C86" i="22"/>
  <c r="C85" i="22"/>
  <c r="C84" i="22"/>
  <c r="C83" i="22"/>
  <c r="C82" i="22"/>
  <c r="C81" i="22"/>
  <c r="C80" i="22"/>
  <c r="C79" i="22"/>
  <c r="C78" i="22"/>
  <c r="C77" i="22"/>
  <c r="C76" i="22"/>
  <c r="C75" i="22"/>
  <c r="C74" i="22"/>
  <c r="C73" i="22"/>
  <c r="C72" i="22"/>
  <c r="C71" i="22"/>
  <c r="C70" i="22"/>
  <c r="C69" i="22"/>
  <c r="C68" i="22"/>
  <c r="C67" i="22"/>
  <c r="C66" i="22"/>
  <c r="C65" i="22"/>
  <c r="C64" i="22"/>
  <c r="C63" i="22"/>
  <c r="C62" i="22"/>
  <c r="C61" i="22"/>
  <c r="C60" i="22"/>
  <c r="C59" i="22"/>
  <c r="C58" i="22"/>
  <c r="C57" i="22"/>
  <c r="C56" i="22"/>
  <c r="C55" i="22"/>
  <c r="C54" i="22"/>
  <c r="C53" i="22"/>
  <c r="C52" i="22"/>
  <c r="C51" i="22"/>
  <c r="C50" i="22"/>
  <c r="C49" i="22"/>
  <c r="C48" i="22"/>
  <c r="C47" i="22"/>
  <c r="C46" i="22"/>
  <c r="C45" i="22"/>
  <c r="C44" i="22"/>
  <c r="C43" i="22"/>
  <c r="C42" i="22"/>
  <c r="C41" i="22"/>
  <c r="C40" i="22"/>
  <c r="C39" i="22"/>
  <c r="C38" i="22"/>
  <c r="C37" i="22"/>
  <c r="C36" i="22"/>
  <c r="C35" i="22"/>
  <c r="C34" i="22"/>
  <c r="C33" i="22"/>
  <c r="C32" i="22"/>
  <c r="C31" i="22"/>
  <c r="C30" i="22"/>
  <c r="C29" i="22"/>
  <c r="C28" i="22"/>
  <c r="C27" i="22"/>
  <c r="C26" i="22"/>
  <c r="C25" i="22"/>
  <c r="C24" i="22"/>
  <c r="C23" i="22"/>
  <c r="C22" i="22"/>
  <c r="C21" i="22"/>
  <c r="C20" i="22"/>
  <c r="C19" i="22"/>
  <c r="C18" i="22"/>
  <c r="C17" i="22"/>
  <c r="C16" i="22"/>
  <c r="C15" i="22"/>
  <c r="C14" i="22"/>
  <c r="C13" i="22"/>
  <c r="C12" i="22"/>
  <c r="C11" i="22"/>
  <c r="C10" i="22"/>
  <c r="C9" i="22"/>
  <c r="C8" i="22"/>
  <c r="C7" i="22"/>
  <c r="C6" i="22"/>
  <c r="C5" i="22"/>
  <c r="C4" i="22"/>
  <c r="C3" i="22"/>
  <c r="C2" i="22"/>
  <c r="I3" i="18"/>
  <c r="G3" i="18"/>
  <c r="D3" i="18"/>
  <c r="G70" i="13"/>
  <c r="G71" i="13"/>
  <c r="K81" i="13"/>
  <c r="G73" i="13"/>
  <c r="O70" i="13"/>
  <c r="T3" i="11"/>
  <c r="G72" i="13"/>
  <c r="A9" i="3"/>
  <c r="P68" i="13"/>
  <c r="F68" i="13"/>
  <c r="A18" i="3"/>
  <c r="K82" i="13"/>
  <c r="K83" i="13"/>
  <c r="K84" i="13"/>
  <c r="K85" i="13"/>
  <c r="K86" i="13"/>
  <c r="T2" i="11"/>
  <c r="N19" i="11"/>
  <c r="AC19" i="11" s="1"/>
  <c r="I19" i="11"/>
  <c r="I18" i="11"/>
  <c r="I17" i="11"/>
  <c r="I16" i="11"/>
  <c r="Q3" i="11"/>
  <c r="I3" i="11"/>
  <c r="Q88" i="13"/>
  <c r="N88" i="13"/>
  <c r="K88" i="13"/>
  <c r="H88" i="13"/>
  <c r="J79" i="13"/>
  <c r="G79" i="13"/>
  <c r="D75" i="13"/>
  <c r="A2" i="3"/>
  <c r="A3" i="3"/>
  <c r="A4" i="3"/>
  <c r="A5" i="3"/>
  <c r="A6" i="3"/>
  <c r="A7" i="3"/>
  <c r="A8" i="3"/>
  <c r="A11" i="3"/>
  <c r="A12" i="3"/>
  <c r="A13" i="3"/>
  <c r="A14" i="3"/>
  <c r="A15" i="3"/>
  <c r="A16" i="3"/>
  <c r="A17" i="3"/>
  <c r="A21" i="3"/>
  <c r="A22" i="3"/>
  <c r="A23" i="3"/>
  <c r="A24" i="3"/>
  <c r="A25" i="3"/>
  <c r="A26" i="3"/>
  <c r="A27" i="3"/>
  <c r="A28" i="3"/>
  <c r="A29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7" i="3"/>
  <c r="A46" i="3"/>
  <c r="AB18" i="11"/>
  <c r="AB19" i="11"/>
  <c r="AB17" i="11"/>
  <c r="AD16" i="11" l="1"/>
  <c r="Q16" i="11"/>
  <c r="I3" i="19"/>
  <c r="W5" i="13"/>
  <c r="U112" i="11"/>
  <c r="N3" i="19" s="1"/>
  <c r="W29" i="13"/>
  <c r="N3" i="18" s="1"/>
  <c r="AB6" i="11"/>
  <c r="R3" i="19" s="1"/>
  <c r="AC16" i="11"/>
  <c r="N68" i="13"/>
  <c r="AE15" i="11"/>
  <c r="AD15" i="11"/>
  <c r="D2" i="4"/>
  <c r="Q22" i="11" s="1"/>
  <c r="P22" i="11" s="1"/>
  <c r="X19" i="13"/>
  <c r="X18" i="13"/>
  <c r="Y18" i="13" s="1"/>
  <c r="X17" i="13"/>
  <c r="Y17" i="13" s="1"/>
  <c r="Y19" i="13"/>
  <c r="AE14" i="11"/>
  <c r="AA19" i="13"/>
  <c r="U17" i="11"/>
  <c r="AK3" i="19" s="1"/>
  <c r="T154" i="11"/>
  <c r="P3" i="19" s="1"/>
  <c r="U80" i="11"/>
  <c r="O3" i="19" s="1"/>
  <c r="U18" i="11"/>
  <c r="AO3" i="19" s="1"/>
  <c r="U28" i="11"/>
  <c r="M3" i="19" s="1"/>
  <c r="U19" i="11"/>
  <c r="AS3" i="19" s="1"/>
  <c r="AB5" i="11"/>
  <c r="S14" i="11" s="1"/>
  <c r="AA17" i="13"/>
  <c r="AF17" i="13"/>
  <c r="Q25" i="13"/>
  <c r="Q20" i="13" s="1"/>
  <c r="Q16" i="13" s="1"/>
  <c r="I92" i="13"/>
  <c r="AD14" i="11"/>
  <c r="AD20" i="11"/>
  <c r="R19" i="11"/>
  <c r="AR3" i="19" s="1"/>
  <c r="AE20" i="11"/>
  <c r="Q56" i="13"/>
  <c r="L3" i="18" s="1"/>
  <c r="R18" i="11"/>
  <c r="AM3" i="19" s="1"/>
  <c r="AF18" i="11"/>
  <c r="AB16" i="11"/>
  <c r="R17" i="11"/>
  <c r="AI3" i="19" s="1"/>
  <c r="D68" i="13"/>
  <c r="G3" i="11"/>
  <c r="O3" i="11"/>
  <c r="AE16" i="11"/>
  <c r="Q14" i="11" l="1"/>
  <c r="Q15" i="11"/>
  <c r="Q20" i="11" s="1"/>
  <c r="R22" i="11" s="1"/>
  <c r="T17" i="11"/>
  <c r="T18" i="11"/>
  <c r="T19" i="11"/>
  <c r="A5" i="13"/>
  <c r="A3" i="19"/>
  <c r="AF15" i="11"/>
  <c r="G4" i="11"/>
  <c r="AB3" i="11"/>
  <c r="A3" i="18"/>
  <c r="AF14" i="11"/>
  <c r="X3" i="19"/>
  <c r="S15" i="11"/>
  <c r="AB3" i="19" s="1"/>
  <c r="S16" i="11"/>
  <c r="AF3" i="19" s="1"/>
  <c r="F5" i="11"/>
  <c r="AF16" i="11"/>
  <c r="AA23" i="13"/>
  <c r="T144" i="11"/>
  <c r="T155" i="11" s="1"/>
  <c r="N156" i="11" s="1"/>
  <c r="Q3" i="19"/>
  <c r="AK19" i="11"/>
  <c r="B3" i="18"/>
  <c r="P29" i="13"/>
  <c r="AF20" i="11"/>
  <c r="Y25" i="13"/>
  <c r="Q54" i="13" s="1"/>
  <c r="Q55" i="13" s="1"/>
  <c r="K3" i="18" s="1"/>
  <c r="Y23" i="13"/>
  <c r="AK17" i="11"/>
  <c r="AK18" i="11"/>
  <c r="AF21" i="11" l="1"/>
  <c r="AG16" i="11" s="1"/>
  <c r="O54" i="13"/>
  <c r="T3" i="18" s="1"/>
  <c r="O73" i="13"/>
  <c r="Y29" i="13"/>
  <c r="P3" i="18" s="1"/>
  <c r="Q3" i="18" s="1"/>
  <c r="M54" i="13"/>
  <c r="U3" i="18" s="1"/>
  <c r="AG15" i="11" l="1"/>
  <c r="AG14" i="11"/>
  <c r="AG21" i="11"/>
  <c r="AH14" i="11" l="1"/>
  <c r="AI14" i="11" s="1"/>
  <c r="R14" i="11" s="1"/>
  <c r="AH16" i="11"/>
  <c r="AH15" i="11"/>
  <c r="AI15" i="11" s="1"/>
  <c r="R15" i="11" s="1"/>
  <c r="T15" i="11" l="1"/>
  <c r="U15" i="11" s="1"/>
  <c r="AC3" i="19" s="1"/>
  <c r="AA3" i="19"/>
  <c r="T14" i="11"/>
  <c r="W3" i="19"/>
  <c r="AK15" i="11"/>
  <c r="AI16" i="11"/>
  <c r="R16" i="11" s="1"/>
  <c r="AH21" i="11"/>
  <c r="AK14" i="11"/>
  <c r="U14" i="11" l="1"/>
  <c r="Y3" i="19" s="1"/>
  <c r="AE3" i="19"/>
  <c r="T16" i="11"/>
  <c r="U16" i="11" s="1"/>
  <c r="AG3" i="19" s="1"/>
  <c r="AK16" i="11"/>
  <c r="E24" i="11" s="1"/>
  <c r="R20" i="11"/>
  <c r="U20" i="11" l="1"/>
  <c r="R26" i="11"/>
  <c r="AB8" i="11" s="1"/>
  <c r="T3" i="19" s="1"/>
  <c r="U3" i="19" s="1"/>
  <c r="B3" i="19"/>
</calcChain>
</file>

<file path=xl/sharedStrings.xml><?xml version="1.0" encoding="utf-8"?>
<sst xmlns="http://schemas.openxmlformats.org/spreadsheetml/2006/main" count="4129" uniqueCount="1814">
  <si>
    <t>ORDRE DE MISSION</t>
  </si>
  <si>
    <t>Année</t>
  </si>
  <si>
    <t>Nom :</t>
  </si>
  <si>
    <t>Objet :</t>
  </si>
  <si>
    <t>En cas de mission à l'étranger, vous devez prendre connaissance :</t>
  </si>
  <si>
    <t>www.cirad.fr</t>
  </si>
  <si>
    <t>Missionnaire</t>
  </si>
  <si>
    <t>Itinéraire</t>
  </si>
  <si>
    <t>Pays</t>
  </si>
  <si>
    <t>Fin</t>
  </si>
  <si>
    <t>Lieux</t>
  </si>
  <si>
    <t>Date arrivée</t>
  </si>
  <si>
    <t>Date départ</t>
  </si>
  <si>
    <t>Véhicule</t>
  </si>
  <si>
    <t>Non</t>
  </si>
  <si>
    <t>Montant (€)</t>
  </si>
  <si>
    <t>AFGHANISTAN</t>
  </si>
  <si>
    <t>AFRIQUE DU SUD</t>
  </si>
  <si>
    <t>ALBANIE</t>
  </si>
  <si>
    <t>ALGERIE</t>
  </si>
  <si>
    <t>ALLEMAGNE</t>
  </si>
  <si>
    <t>ANDORRE</t>
  </si>
  <si>
    <t>ANGOLA</t>
  </si>
  <si>
    <t>ANGUILLA</t>
  </si>
  <si>
    <t>ANTARCTIQUE</t>
  </si>
  <si>
    <t>ANTIGUA ET BARBUDA</t>
  </si>
  <si>
    <t>ANTILLES NEERLANDAISES</t>
  </si>
  <si>
    <t>ARABIE SAOUDITE</t>
  </si>
  <si>
    <t>ARGENTINE</t>
  </si>
  <si>
    <t>ARMENIE</t>
  </si>
  <si>
    <t>ARUBA</t>
  </si>
  <si>
    <t>AUSTRALIE</t>
  </si>
  <si>
    <t>AUTRICHE</t>
  </si>
  <si>
    <t>AZERBAIDJAN</t>
  </si>
  <si>
    <t>BAHAMAS</t>
  </si>
  <si>
    <t>BAHREIN</t>
  </si>
  <si>
    <t>BANGLADESH</t>
  </si>
  <si>
    <t>BARBADE</t>
  </si>
  <si>
    <t>BELARUS</t>
  </si>
  <si>
    <t>BELGIQUE</t>
  </si>
  <si>
    <t>BELIZE</t>
  </si>
  <si>
    <t>BENIN</t>
  </si>
  <si>
    <t>BERMUDES</t>
  </si>
  <si>
    <t>BHOUTAN</t>
  </si>
  <si>
    <t>BOLIVIE</t>
  </si>
  <si>
    <t>BOSNIE-HERZEGOVINE</t>
  </si>
  <si>
    <t>BOTSWANA</t>
  </si>
  <si>
    <t>BOUVET (île)</t>
  </si>
  <si>
    <t>BRESIL</t>
  </si>
  <si>
    <t>BRUNEI</t>
  </si>
  <si>
    <t>BULGARIE</t>
  </si>
  <si>
    <t>BURKINA FASO</t>
  </si>
  <si>
    <t>BURUNDI</t>
  </si>
  <si>
    <t>CAIMANES (îles)</t>
  </si>
  <si>
    <t>CAMBODGE</t>
  </si>
  <si>
    <t>CAMEROUN</t>
  </si>
  <si>
    <t>CANADA</t>
  </si>
  <si>
    <t>CAP-VERT</t>
  </si>
  <si>
    <t>CHILI</t>
  </si>
  <si>
    <t>CHINE</t>
  </si>
  <si>
    <t>CHRISTMAS (île)</t>
  </si>
  <si>
    <t>CHYPRE</t>
  </si>
  <si>
    <t>COCOS (îles)</t>
  </si>
  <si>
    <t>COLOMBIE</t>
  </si>
  <si>
    <t>COMORES</t>
  </si>
  <si>
    <t>COOK (îles)</t>
  </si>
  <si>
    <t>COSTA RICA</t>
  </si>
  <si>
    <t>COTE D'IVOIRE</t>
  </si>
  <si>
    <t>CROATIE</t>
  </si>
  <si>
    <t>CUBA</t>
  </si>
  <si>
    <t>DANEMARK</t>
  </si>
  <si>
    <t>DJIBOUTI</t>
  </si>
  <si>
    <t>DOMINICAINE (République)</t>
  </si>
  <si>
    <t>DOMINIQUE</t>
  </si>
  <si>
    <t>EGYPTE</t>
  </si>
  <si>
    <t>EMIRATS ARABES UNIS</t>
  </si>
  <si>
    <t>EQUATEUR</t>
  </si>
  <si>
    <t>ERYTHREE</t>
  </si>
  <si>
    <t>ESPAGNE</t>
  </si>
  <si>
    <t>ESTONIE</t>
  </si>
  <si>
    <t>ETHIOPIE</t>
  </si>
  <si>
    <t>FALKLAND (îles)</t>
  </si>
  <si>
    <t>FEROE (îles)</t>
  </si>
  <si>
    <t>FIDJI</t>
  </si>
  <si>
    <t>FINLANDE</t>
  </si>
  <si>
    <t>GABON</t>
  </si>
  <si>
    <t>GAMBIE</t>
  </si>
  <si>
    <t>GEORGIE</t>
  </si>
  <si>
    <t>GEORGIE - ILES SANDWICH DU SUD</t>
  </si>
  <si>
    <t>GHANA</t>
  </si>
  <si>
    <t>GIBRALTAR</t>
  </si>
  <si>
    <t>GRECE</t>
  </si>
  <si>
    <t>GRENADE</t>
  </si>
  <si>
    <t>GROENLAND</t>
  </si>
  <si>
    <t>GUADELOUPE</t>
  </si>
  <si>
    <t>GUAM</t>
  </si>
  <si>
    <t>GUATEMALA</t>
  </si>
  <si>
    <t>GUINEE-BISSAU</t>
  </si>
  <si>
    <t>GUYANA</t>
  </si>
  <si>
    <t>GUYANE FRANCAISE</t>
  </si>
  <si>
    <t>HAITI</t>
  </si>
  <si>
    <t>HEARD ET MC DONALD (îles)</t>
  </si>
  <si>
    <t>HONDURAS</t>
  </si>
  <si>
    <t>HONG-KONG</t>
  </si>
  <si>
    <t>HONGRIE</t>
  </si>
  <si>
    <t>INDE</t>
  </si>
  <si>
    <t>INDONESIE</t>
  </si>
  <si>
    <t>IRAN</t>
  </si>
  <si>
    <t>IRLANDE</t>
  </si>
  <si>
    <t>ISLANDE</t>
  </si>
  <si>
    <t>ISRAEL</t>
  </si>
  <si>
    <t>ITALIE</t>
  </si>
  <si>
    <t>JAMAIQUE</t>
  </si>
  <si>
    <t>JAPON</t>
  </si>
  <si>
    <t>JORDANIE</t>
  </si>
  <si>
    <t>KAZAKHSTAN</t>
  </si>
  <si>
    <t>KENYA</t>
  </si>
  <si>
    <t>KIRGHIZISTAN</t>
  </si>
  <si>
    <t>KIRIBATI</t>
  </si>
  <si>
    <t>KOWEIT</t>
  </si>
  <si>
    <t>LAOS</t>
  </si>
  <si>
    <t>LESOTHO</t>
  </si>
  <si>
    <t>LETTONIE</t>
  </si>
  <si>
    <t>LIBAN</t>
  </si>
  <si>
    <t>LIBERIA</t>
  </si>
  <si>
    <t>LIECHTENSTEIN</t>
  </si>
  <si>
    <t>LITUANIE</t>
  </si>
  <si>
    <t>LUXEMBOURG</t>
  </si>
  <si>
    <t>MACAO</t>
  </si>
  <si>
    <t>MACEDOINE</t>
  </si>
  <si>
    <t>MADAGASCAR</t>
  </si>
  <si>
    <t>MADERE</t>
  </si>
  <si>
    <t>MALAISIE</t>
  </si>
  <si>
    <t>MALAWI</t>
  </si>
  <si>
    <t>MALDIVES</t>
  </si>
  <si>
    <t>MALI</t>
  </si>
  <si>
    <t>MALTE</t>
  </si>
  <si>
    <t>MARIANNES DU NORD (îles)</t>
  </si>
  <si>
    <t>MAROC</t>
  </si>
  <si>
    <t>MARSHALL (îles)</t>
  </si>
  <si>
    <t>MARTINIQUE</t>
  </si>
  <si>
    <t>MAURITANIE</t>
  </si>
  <si>
    <t>MAYOTTE</t>
  </si>
  <si>
    <t>MEXIQUE</t>
  </si>
  <si>
    <t>MICRONESIE</t>
  </si>
  <si>
    <t>MOLDOVA (République)</t>
  </si>
  <si>
    <t>MONACO</t>
  </si>
  <si>
    <t>MONGOLIE</t>
  </si>
  <si>
    <t>MONTSERRAT</t>
  </si>
  <si>
    <t>MOZAMBIQUE</t>
  </si>
  <si>
    <t>MYANMAR</t>
  </si>
  <si>
    <t>NAMIBIE</t>
  </si>
  <si>
    <t>NAURU</t>
  </si>
  <si>
    <t>NEPAL</t>
  </si>
  <si>
    <t>NICARAGUA</t>
  </si>
  <si>
    <t>NIGER</t>
  </si>
  <si>
    <t>NIGERIA</t>
  </si>
  <si>
    <t>NIOUE</t>
  </si>
  <si>
    <t>NORFOLK (île)</t>
  </si>
  <si>
    <t>NORVEGE</t>
  </si>
  <si>
    <t>NOUVELLE-CALEDONIE</t>
  </si>
  <si>
    <t>NOUVELLE-ZELANDE</t>
  </si>
  <si>
    <t>OMAN</t>
  </si>
  <si>
    <t>OUGANDA</t>
  </si>
  <si>
    <t>OUZBEKISTAN</t>
  </si>
  <si>
    <t>PAKISTAN</t>
  </si>
  <si>
    <t>PANAMA</t>
  </si>
  <si>
    <t>PAPOUASIE-NOUVELLE-GUINEE</t>
  </si>
  <si>
    <t>PARAGUAY</t>
  </si>
  <si>
    <t>PAYS-BAS</t>
  </si>
  <si>
    <t>PEROU</t>
  </si>
  <si>
    <t>PHILIPPINES</t>
  </si>
  <si>
    <t>PITCAIRN (île)</t>
  </si>
  <si>
    <t>POLOGNE</t>
  </si>
  <si>
    <t>POLYNESIE FRANCAISE</t>
  </si>
  <si>
    <t>PORTO RICO</t>
  </si>
  <si>
    <t>PORTUGAL</t>
  </si>
  <si>
    <t>QATAR</t>
  </si>
  <si>
    <t>REPUBLIQUE CENTRAFRICAINE</t>
  </si>
  <si>
    <t>REUNION</t>
  </si>
  <si>
    <t>ROUMANIE</t>
  </si>
  <si>
    <t>ROYAUME-UNI</t>
  </si>
  <si>
    <t>RUSSIE (Fédération)</t>
  </si>
  <si>
    <t>RWANDA</t>
  </si>
  <si>
    <t>SAHARA OCCIDENTAL</t>
  </si>
  <si>
    <t>SAINT KITTS-ET-NEVIS</t>
  </si>
  <si>
    <t>SAINTE-HELENE</t>
  </si>
  <si>
    <t>SAINTE-LUCIE</t>
  </si>
  <si>
    <t>SAINT-MARIN</t>
  </si>
  <si>
    <t>SALOMON (îles)</t>
  </si>
  <si>
    <t>SALVADOR</t>
  </si>
  <si>
    <t>SAMOA AMERICAINES</t>
  </si>
  <si>
    <t>SAO TOME ET PRINCIPE</t>
  </si>
  <si>
    <t>SENEGAL</t>
  </si>
  <si>
    <t>SEYCHELLES</t>
  </si>
  <si>
    <t>SIERRA LEONE</t>
  </si>
  <si>
    <t>SINGAPOUR</t>
  </si>
  <si>
    <t>SLOVAQUIE</t>
  </si>
  <si>
    <t>SLOVENIE</t>
  </si>
  <si>
    <t>SOMALIE</t>
  </si>
  <si>
    <t>SOUDAN</t>
  </si>
  <si>
    <t>SRI LANKA</t>
  </si>
  <si>
    <t>ST.PIERRE-ET-MIQUELON</t>
  </si>
  <si>
    <t>ST.VINCENT-ET-GRENADINES</t>
  </si>
  <si>
    <t>SUEDE</t>
  </si>
  <si>
    <t>SUISSE</t>
  </si>
  <si>
    <t>SURINAME</t>
  </si>
  <si>
    <t>SVALBARD ET ILE JAN MAYEN</t>
  </si>
  <si>
    <t>SWAZILAND</t>
  </si>
  <si>
    <t>SYRIE</t>
  </si>
  <si>
    <t>TADJIKISTAN</t>
  </si>
  <si>
    <t>TAIWAN</t>
  </si>
  <si>
    <t>TANZANIE</t>
  </si>
  <si>
    <t>TCHAD</t>
  </si>
  <si>
    <t>TCHEQUE (République)</t>
  </si>
  <si>
    <t>THAILANDE</t>
  </si>
  <si>
    <t>TOGO</t>
  </si>
  <si>
    <t>TOKELAOU</t>
  </si>
  <si>
    <t>TONGA</t>
  </si>
  <si>
    <t>TRINITE-ET-TOBAGO</t>
  </si>
  <si>
    <t>TUNISIE</t>
  </si>
  <si>
    <t>TURKMENISTAN</t>
  </si>
  <si>
    <t>TURKS ET CAÏQUES (îles)</t>
  </si>
  <si>
    <t>TUVALU</t>
  </si>
  <si>
    <t>UKRAINE</t>
  </si>
  <si>
    <t>URUGUAY</t>
  </si>
  <si>
    <t>VANUATU</t>
  </si>
  <si>
    <t>VATICAN</t>
  </si>
  <si>
    <t>VENEZUELA</t>
  </si>
  <si>
    <t>VIERGES AMERICAINES (Iles)</t>
  </si>
  <si>
    <t>VIERGES BRITANNIQUES (Iles)</t>
  </si>
  <si>
    <t>VIETNAM</t>
  </si>
  <si>
    <t>WALLIS ET FUTUNA</t>
  </si>
  <si>
    <t>YEMEN</t>
  </si>
  <si>
    <t>ZAMBIE</t>
  </si>
  <si>
    <t>ZIMBABWE</t>
  </si>
  <si>
    <t>Dg</t>
  </si>
  <si>
    <t>Bios</t>
  </si>
  <si>
    <t>Es</t>
  </si>
  <si>
    <t>Persyst</t>
  </si>
  <si>
    <t>UNITES</t>
  </si>
  <si>
    <t>Oui</t>
  </si>
  <si>
    <t>Auto</t>
  </si>
  <si>
    <t>COREE (République Populaire)</t>
  </si>
  <si>
    <t>IRAK</t>
  </si>
  <si>
    <t>MONTENEGRO</t>
  </si>
  <si>
    <t>SERBIE</t>
  </si>
  <si>
    <t>TIMOR LESTE</t>
  </si>
  <si>
    <t xml:space="preserve">Objet : </t>
  </si>
  <si>
    <t xml:space="preserve">Total : </t>
  </si>
  <si>
    <t>Autres</t>
  </si>
  <si>
    <t xml:space="preserve">Pays d'affectation : </t>
  </si>
  <si>
    <t xml:space="preserve">Nom : </t>
  </si>
  <si>
    <t>Nbrs. Kms</t>
  </si>
  <si>
    <t>Libellé</t>
  </si>
  <si>
    <t>location véhicule</t>
  </si>
  <si>
    <t>date</t>
  </si>
  <si>
    <t>Devise</t>
  </si>
  <si>
    <t>Ile de France (75,77,78,91,92,93,94,95)</t>
  </si>
  <si>
    <t>Province</t>
  </si>
  <si>
    <t>Région Parisienne (75,92,93,94)</t>
  </si>
  <si>
    <t>France métropolitaine</t>
  </si>
  <si>
    <t>repas</t>
  </si>
  <si>
    <t>Hébergement / Restauration France Métropolitaine</t>
  </si>
  <si>
    <t>Quantité</t>
  </si>
  <si>
    <t>Visa du responsable :</t>
  </si>
  <si>
    <t>Date :</t>
  </si>
  <si>
    <t>Indemnité kilométrique</t>
  </si>
  <si>
    <t>véhicule personnel sur route</t>
  </si>
  <si>
    <t>véhicule personnel sur piste</t>
  </si>
  <si>
    <t>Autres frais de transport</t>
  </si>
  <si>
    <t>Taxi, bus, metro</t>
  </si>
  <si>
    <t>Train, avion, bateau</t>
  </si>
  <si>
    <t>Carburant, péages, parking</t>
  </si>
  <si>
    <t>Hébergement sans justificatif (forfait)</t>
  </si>
  <si>
    <t xml:space="preserve">Restauration (forfait) </t>
  </si>
  <si>
    <t>nuitées</t>
  </si>
  <si>
    <t>Perdiem</t>
  </si>
  <si>
    <t>Honoraires</t>
  </si>
  <si>
    <t xml:space="preserve">Matricule : </t>
  </si>
  <si>
    <t>Date arrivée jj/mm/aa</t>
  </si>
  <si>
    <t>Date de départ jj/mm/aa</t>
  </si>
  <si>
    <t>N° justif.</t>
  </si>
  <si>
    <t>Heure départ hh:mm</t>
  </si>
  <si>
    <t>Plafond nuitée &amp; dej Ile de France (PI)</t>
  </si>
  <si>
    <t>Plafond nuitée &amp; dej Province (PP)</t>
  </si>
  <si>
    <t>Forfait Urssaf nuitée &amp; dej Ile de France (FI)</t>
  </si>
  <si>
    <t>Forfait Urssaf nuitée &amp; dej Province (FP)</t>
  </si>
  <si>
    <t>Forfait repas (FR)</t>
  </si>
  <si>
    <t>1 jour</t>
  </si>
  <si>
    <t xml:space="preserve">Prénom : </t>
  </si>
  <si>
    <t>Protocole de sécurisation</t>
  </si>
  <si>
    <t>N°Ordre</t>
  </si>
  <si>
    <t>Dpt.</t>
  </si>
  <si>
    <t xml:space="preserve">Nom, Prénom : </t>
  </si>
  <si>
    <t>Libellé hébergement / Restauration hors France métropolitaine</t>
  </si>
  <si>
    <t>Forfait terrain (étranger) Décrire ci-dessous la situation :</t>
  </si>
  <si>
    <t>Transport (frais réels)</t>
  </si>
  <si>
    <t xml:space="preserve">Total général des frais : </t>
  </si>
  <si>
    <t>(*)</t>
  </si>
  <si>
    <t>Taux (1€ = )*</t>
  </si>
  <si>
    <t xml:space="preserve"> Hébergement &amp; Restauration</t>
  </si>
  <si>
    <t xml:space="preserve"> Transport</t>
  </si>
  <si>
    <t xml:space="preserve"> Autres frais</t>
  </si>
  <si>
    <t xml:space="preserve"> Autres montants perçus</t>
  </si>
  <si>
    <t>Pour information :</t>
  </si>
  <si>
    <t>Si mission à l'étranger, prendre connaissance de :</t>
  </si>
  <si>
    <t>(établir demande de congés)</t>
  </si>
  <si>
    <t>Responsable</t>
  </si>
  <si>
    <t>Signatures</t>
  </si>
  <si>
    <t xml:space="preserve">Mission Longue Durée : </t>
  </si>
  <si>
    <t xml:space="preserve">NOTE DE FRAIS DE MISSION  </t>
  </si>
  <si>
    <t>N° justif</t>
  </si>
  <si>
    <t>Etape</t>
  </si>
  <si>
    <t>Coef. Pays</t>
  </si>
  <si>
    <t>Montant €</t>
  </si>
  <si>
    <t>Hébergement sur justificatifs                                                     (soumis à plafond)</t>
  </si>
  <si>
    <t xml:space="preserve"> </t>
  </si>
  <si>
    <t>Heure arrivée hh:mm</t>
  </si>
  <si>
    <t>Jour IS et/ou bonif</t>
  </si>
  <si>
    <t xml:space="preserve">Date : </t>
  </si>
  <si>
    <t xml:space="preserve">Visa : </t>
  </si>
  <si>
    <t>congés reçu GP</t>
  </si>
  <si>
    <t>Dom</t>
  </si>
  <si>
    <t>Montant IS hors charges</t>
  </si>
  <si>
    <t xml:space="preserve">N° NdF : </t>
  </si>
  <si>
    <t>Code SIRH</t>
  </si>
  <si>
    <t>Département</t>
  </si>
  <si>
    <t>A0017</t>
  </si>
  <si>
    <t>UMR INTERTRYP</t>
  </si>
  <si>
    <t>A0051</t>
  </si>
  <si>
    <t>UMR AMAP</t>
  </si>
  <si>
    <t>A0053</t>
  </si>
  <si>
    <t>UMR PVBMT</t>
  </si>
  <si>
    <t>A0055</t>
  </si>
  <si>
    <t>UMR CBGP</t>
  </si>
  <si>
    <t>A0082</t>
  </si>
  <si>
    <t>UMR LSTM</t>
  </si>
  <si>
    <t>A0100</t>
  </si>
  <si>
    <t>UMR DIADE</t>
  </si>
  <si>
    <t>A0108</t>
  </si>
  <si>
    <t>UMR AGAP</t>
  </si>
  <si>
    <t>B0026</t>
  </si>
  <si>
    <t>B0049</t>
  </si>
  <si>
    <t>US Analyses</t>
  </si>
  <si>
    <t>B0078</t>
  </si>
  <si>
    <t>UPR Recyclage et risque</t>
  </si>
  <si>
    <t>B0095</t>
  </si>
  <si>
    <t>UMR QUALISUD</t>
  </si>
  <si>
    <t>B0103</t>
  </si>
  <si>
    <t>UPR HORTSYS</t>
  </si>
  <si>
    <t>B0111</t>
  </si>
  <si>
    <t>UMR Eco&amp;Sols</t>
  </si>
  <si>
    <t>B0114</t>
  </si>
  <si>
    <t>UPR BioWooEB</t>
  </si>
  <si>
    <t>C0056</t>
  </si>
  <si>
    <t>UMR CIRED</t>
  </si>
  <si>
    <t>C0085</t>
  </si>
  <si>
    <t>UMR Innovation</t>
  </si>
  <si>
    <t>C0090</t>
  </si>
  <si>
    <t>UMR G-EAU</t>
  </si>
  <si>
    <t>C0091</t>
  </si>
  <si>
    <t>UMR TETIS</t>
  </si>
  <si>
    <t>C0093</t>
  </si>
  <si>
    <t>UMR ECOFOG</t>
  </si>
  <si>
    <t>C0099</t>
  </si>
  <si>
    <t>UMR MOISA</t>
  </si>
  <si>
    <t>C0105</t>
  </si>
  <si>
    <t>C0112</t>
  </si>
  <si>
    <t>UMR SELMET</t>
  </si>
  <si>
    <t>C0113</t>
  </si>
  <si>
    <t>UMR ART-DEV</t>
  </si>
  <si>
    <t>D0950</t>
  </si>
  <si>
    <t>Dg-saurs</t>
  </si>
  <si>
    <t>D0958</t>
  </si>
  <si>
    <t>Dg-évaluation</t>
  </si>
  <si>
    <t>D0963</t>
  </si>
  <si>
    <t>Dg-com</t>
  </si>
  <si>
    <t>D0985</t>
  </si>
  <si>
    <t>D1944</t>
  </si>
  <si>
    <t>Dgdrd-dsi</t>
  </si>
  <si>
    <t>D1945</t>
  </si>
  <si>
    <t>Dgdrd-DR Réunion-Mayotte</t>
  </si>
  <si>
    <t>D1946</t>
  </si>
  <si>
    <t>Dgdrd-DR Antilles-Guyane</t>
  </si>
  <si>
    <t>D1947</t>
  </si>
  <si>
    <t>D1948</t>
  </si>
  <si>
    <t>Dgdrd-DR Ile de France</t>
  </si>
  <si>
    <t>D1949</t>
  </si>
  <si>
    <t>Dgdrd</t>
  </si>
  <si>
    <t>D1954</t>
  </si>
  <si>
    <t>Dgdrd-dcaf-saurs</t>
  </si>
  <si>
    <t>D1974</t>
  </si>
  <si>
    <t>Dgdrd-drh</t>
  </si>
  <si>
    <t>D1975</t>
  </si>
  <si>
    <t>Dgdrd-ditam</t>
  </si>
  <si>
    <t>D1976</t>
  </si>
  <si>
    <t>Dgdrd-dcaf</t>
  </si>
  <si>
    <t>D2959</t>
  </si>
  <si>
    <t>Dgdrs-dist</t>
  </si>
  <si>
    <t>D2961</t>
  </si>
  <si>
    <t>Dgdrs</t>
  </si>
  <si>
    <t>UR / Service</t>
  </si>
  <si>
    <t>et période de liquidation du :</t>
  </si>
  <si>
    <t>Informations financières</t>
  </si>
  <si>
    <t>Budget prévisionnel</t>
  </si>
  <si>
    <t>Forfait terrain (missions à l'étranger seulement)</t>
  </si>
  <si>
    <t xml:space="preserve">Pays d'affectation :  </t>
  </si>
  <si>
    <t>1 - Frais engagés par l'agent soumis à autorisation préalable</t>
  </si>
  <si>
    <t>3 - Frais engagés par le CIRAD (Achats par bons de commande)</t>
  </si>
  <si>
    <t>Début</t>
  </si>
  <si>
    <t xml:space="preserve">Taux de charge IS : </t>
  </si>
  <si>
    <t>au :</t>
  </si>
  <si>
    <t>Infos pour GP</t>
  </si>
  <si>
    <t>Mt. en devise</t>
  </si>
  <si>
    <t xml:space="preserve">au </t>
  </si>
  <si>
    <t>et du</t>
  </si>
  <si>
    <t>au</t>
  </si>
  <si>
    <t xml:space="preserve">*Congés du </t>
  </si>
  <si>
    <t>Asie</t>
  </si>
  <si>
    <t>Europe</t>
  </si>
  <si>
    <t>GUINEE EQUATORIALE(Malabo)</t>
  </si>
  <si>
    <t>ILES ALAND</t>
  </si>
  <si>
    <t>REP. DEMOCRATIQUE DU CONGO(Kinshasa)</t>
  </si>
  <si>
    <t>SAINT-BARTHELEMY</t>
  </si>
  <si>
    <t>TERRES AUST. ANTARCTIQ. FRANCE</t>
  </si>
  <si>
    <t>TURQUIE (Anatolie)</t>
  </si>
  <si>
    <t>TURQUIE (Istanbul)</t>
  </si>
  <si>
    <t>France</t>
  </si>
  <si>
    <t>Coef IS</t>
  </si>
  <si>
    <t>Pour calcul IS</t>
  </si>
  <si>
    <t>Etranger</t>
  </si>
  <si>
    <t>Indice moyen</t>
  </si>
  <si>
    <t>Valeur du point</t>
  </si>
  <si>
    <t>Allocation brute métropole</t>
  </si>
  <si>
    <t>Allocation brute Dom</t>
  </si>
  <si>
    <t>H12</t>
  </si>
  <si>
    <t>Arrivee</t>
  </si>
  <si>
    <t>Depart</t>
  </si>
  <si>
    <t>VREFH12</t>
  </si>
  <si>
    <t>Ecart :</t>
  </si>
  <si>
    <t>Etape avec jour à réaffecter</t>
  </si>
  <si>
    <t>N° d'étape</t>
  </si>
  <si>
    <t>MINETAPE</t>
  </si>
  <si>
    <t>1er période</t>
  </si>
  <si>
    <t>2eme periode</t>
  </si>
  <si>
    <t>Congés ODM ligne 26</t>
  </si>
  <si>
    <t>Pour calculateur Montant moyen de 2 restauration + 1 hébergement  (€)</t>
  </si>
  <si>
    <t>x</t>
  </si>
  <si>
    <t>GUINEE(conakry)</t>
  </si>
  <si>
    <t>Afriq. Nord, P&amp;M-Orient</t>
  </si>
  <si>
    <t>LIBYE</t>
  </si>
  <si>
    <t>CANARIES(iles)</t>
  </si>
  <si>
    <t>Afrique Francophone</t>
  </si>
  <si>
    <t>Afrique non Francophone</t>
  </si>
  <si>
    <t>Océan indien</t>
  </si>
  <si>
    <t>Tom et Assimilés</t>
  </si>
  <si>
    <t>COREE du sud(République)</t>
  </si>
  <si>
    <t>Amériques du Nord</t>
  </si>
  <si>
    <t>Amériques Centrale et Antilles</t>
  </si>
  <si>
    <t>Amériques du Sud</t>
  </si>
  <si>
    <t>Pacifique Sud</t>
  </si>
  <si>
    <t>HAWAI (Etats-Unis)</t>
  </si>
  <si>
    <t>DOM</t>
  </si>
  <si>
    <t>X = pays en table RH des coef.d'eloignement</t>
  </si>
  <si>
    <t>Continent (selon table RH des coef.d'eloignement) 
Un blanc = pays non existant en table RH des coeff d'éloignement</t>
  </si>
  <si>
    <t>MAURICE (îles) - Rodriguès</t>
  </si>
  <si>
    <t>MAURICE (îles) - Port Louis</t>
  </si>
  <si>
    <t>Nombre de jours de mission
hors congés</t>
  </si>
  <si>
    <t>Nombre de jours de congés pendant la mission</t>
  </si>
  <si>
    <t>Informations pratiques concernant la sécurité à l'étranger</t>
  </si>
  <si>
    <t>Montant de l'avance souhaitée (€)</t>
  </si>
  <si>
    <t>Commentaires :</t>
  </si>
  <si>
    <t>Visa :</t>
  </si>
  <si>
    <r>
      <t>•</t>
    </r>
    <r>
      <rPr>
        <sz val="8.5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La plus grande vigilance doit être prise en cas de retrait d'argent ou de change et lors des déplacements en ville.
• En cas d'agression, il est recommandé de n'opposer aucune résistance.
• En cas d'usage du véhicule personnel, une assurance obligatoire pour déplacements professionnels doit être souscrite par le missionnaire et à sa charge.</t>
    </r>
  </si>
  <si>
    <t>Siège Social : 42 rue Scheffer, 75116 Paris, France
Tél : +33 (0)1 53 70 20 00
SIRET 331 596 270 0040</t>
  </si>
  <si>
    <t xml:space="preserve">et du : </t>
  </si>
  <si>
    <t xml:space="preserve">au : </t>
  </si>
  <si>
    <t xml:space="preserve">Congés du : </t>
  </si>
  <si>
    <t>DESCRIPTION ET BUDGET DE LA MISSION</t>
  </si>
  <si>
    <t>Date de la mission :</t>
  </si>
  <si>
    <t>du</t>
  </si>
  <si>
    <t>Pays visités</t>
  </si>
  <si>
    <t xml:space="preserve">Congés pris pendant la mission : </t>
  </si>
  <si>
    <t xml:space="preserve">Nbr. Kilomètres : </t>
  </si>
  <si>
    <t xml:space="preserve">Nbr. de jours : </t>
  </si>
  <si>
    <t>Commentaire sur fusion ou disparition d'UR/Service</t>
  </si>
  <si>
    <t>Date</t>
  </si>
  <si>
    <t>Moto &gt; = 125 cc</t>
  </si>
  <si>
    <t>Attention, inf car sinon formule ne fonctionne pas.</t>
  </si>
  <si>
    <t>Repas</t>
  </si>
  <si>
    <t>Mention CNIL</t>
  </si>
  <si>
    <t>DCAF-G2M</t>
  </si>
  <si>
    <t>"Les informations recueillies font l'objet d'un traitement informatique destiné à suivre les missions du CIRAD. Les destinataires des données sont les gestionnaires des missions et de la mobilité géographique (G2M).                                                                                                   Conformément à la loi " informatique et libertés " du 6 janvier 1978, vous bénéficiez d'un droit d'accès et de rectification aux informations qui vous concernent. Si vous souhaitez exercer ce droit et obtenir communication des informations vous concernant, veuillez-vous adresser au service DCAF-G2M. Vous pouvez également, pour des motifs légitimes, vous opposer au traitement des données vous concernant."</t>
  </si>
  <si>
    <t>SAMOA (Occidentales)</t>
  </si>
  <si>
    <t>Durée jj</t>
  </si>
  <si>
    <t>Durée hh</t>
  </si>
  <si>
    <t>Durée j arrondie</t>
  </si>
  <si>
    <t>UPR AIDA</t>
  </si>
  <si>
    <t>Pays 1</t>
  </si>
  <si>
    <t>Pays 2</t>
  </si>
  <si>
    <t>Pays 3</t>
  </si>
  <si>
    <t>Pays 4</t>
  </si>
  <si>
    <t>Pays 5</t>
  </si>
  <si>
    <t>Pays 6</t>
  </si>
  <si>
    <t>Si OUI Indiquer</t>
  </si>
  <si>
    <t>2 - Frais à engager par l'agent (Hébergement, restauration, transport, autres…)</t>
  </si>
  <si>
    <t>N° d'urgence en toutes circonstances :</t>
  </si>
  <si>
    <t>B0115</t>
  </si>
  <si>
    <t xml:space="preserve">Commentaires : </t>
  </si>
  <si>
    <t>Moto &lt; 125 cc</t>
  </si>
  <si>
    <t>Forfait France</t>
  </si>
  <si>
    <t>Montant moyen mensuel IS</t>
  </si>
  <si>
    <t>Forfait terrain étranger</t>
  </si>
  <si>
    <t>B0116</t>
  </si>
  <si>
    <t>UMR ISEM</t>
  </si>
  <si>
    <t>IK Route - Montant pour 100 km</t>
  </si>
  <si>
    <t>IK Piste - Montant pour 100 km</t>
  </si>
  <si>
    <t>CONGO(Brazzaville/Pointe Noire)</t>
  </si>
  <si>
    <t>UPR GECO</t>
  </si>
  <si>
    <t>N° Justif.</t>
  </si>
  <si>
    <t>Montant TTC</t>
  </si>
  <si>
    <t>Montant HT</t>
  </si>
  <si>
    <t>TVA</t>
  </si>
  <si>
    <t>Consignes générales                              de sécurité :</t>
  </si>
  <si>
    <t>Nouvel indice suite convention unique</t>
  </si>
  <si>
    <t>IS charges comprises</t>
  </si>
  <si>
    <t>Charges IS</t>
  </si>
  <si>
    <t>IS hors charges</t>
  </si>
  <si>
    <t>UMR ASTRE</t>
  </si>
  <si>
    <t>A0117</t>
  </si>
  <si>
    <t>Dgdrd-DR Occitanie-Montpellier</t>
  </si>
  <si>
    <t>Protocole de Sécurisation</t>
  </si>
  <si>
    <t>http://intranet-dsst.cirad.fr/missions-et-mobilite/conseils</t>
  </si>
  <si>
    <t>Interlocuteurs G2M</t>
  </si>
  <si>
    <t>UPR Forêts &amp; Sociétés</t>
  </si>
  <si>
    <t>Ville</t>
  </si>
  <si>
    <t>Départ</t>
  </si>
  <si>
    <t>Retour</t>
  </si>
  <si>
    <t>Pays de rattachement :</t>
  </si>
  <si>
    <t>Coef d'IS (= Coef d'éloignement, sauf Europe=0 )
Ratt : France</t>
  </si>
  <si>
    <t>Coef d'IS (= Coef d'éloignement, sauf Europe=0 )
Ratt : Martinique</t>
  </si>
  <si>
    <t>Coef d'IS (= Coef d'éloignement, sauf Europe=0 )
Ratt : Guadeloupe</t>
  </si>
  <si>
    <t>Coef d'IS (= Coef d'éloignement, sauf Europe=0 )
Ratt : Guyane</t>
  </si>
  <si>
    <t>Coef d'IS (= Coef d'éloignement, sauf Europe=0 )
Ratt : Réunion</t>
  </si>
  <si>
    <t>Colonne Coef d'IS à appliquer pour recherchev</t>
  </si>
  <si>
    <t>NC</t>
  </si>
  <si>
    <t>Taux de Change</t>
  </si>
  <si>
    <t>Formulaire DCAF</t>
  </si>
  <si>
    <t>PALESTINE</t>
  </si>
  <si>
    <t>ETATS-UNIS (Miami)</t>
  </si>
  <si>
    <t>ETATS-UNIS (Washington, San Fransisco)</t>
  </si>
  <si>
    <t>D2962</t>
  </si>
  <si>
    <t>Dgdrs-Dims</t>
  </si>
  <si>
    <t>oesae.en3oesae</t>
  </si>
  <si>
    <t>oesae.v05oesae</t>
  </si>
  <si>
    <t>oesae.v09oesae</t>
  </si>
  <si>
    <t>oesae.v06oesae</t>
  </si>
  <si>
    <t>oesae.dt2oesae</t>
  </si>
  <si>
    <t>oesae.v10oesae</t>
  </si>
  <si>
    <t>oesae.dt1oesae</t>
  </si>
  <si>
    <t>oesae.dt5oesae</t>
  </si>
  <si>
    <t>oesae.lb1oesae</t>
  </si>
  <si>
    <t>oesae.nu2oesae</t>
  </si>
  <si>
    <t>oesae.nu3oesae</t>
  </si>
  <si>
    <t>oesae.n19oesae</t>
  </si>
  <si>
    <t>oesae.v02oesae</t>
  </si>
  <si>
    <t>oesae.v03oesae</t>
  </si>
  <si>
    <t>oesae.v04oesae</t>
  </si>
  <si>
    <t>oesae.v07oesae</t>
  </si>
  <si>
    <t>oesae.etsoesae</t>
  </si>
  <si>
    <t>oesae.evtoesae</t>
  </si>
  <si>
    <t>N° d'ordre de mission</t>
  </si>
  <si>
    <t>Pays principal mission</t>
  </si>
  <si>
    <t>Pays de rattachement</t>
  </si>
  <si>
    <t>N° matricule</t>
  </si>
  <si>
    <t>Date de réception ODM</t>
  </si>
  <si>
    <t>Pays d'affectation</t>
  </si>
  <si>
    <t>Commentaire</t>
  </si>
  <si>
    <t>Total des frais budgété</t>
  </si>
  <si>
    <t>Montant budgété des frais engagés par l'agent</t>
  </si>
  <si>
    <t>Montant de l'avance</t>
  </si>
  <si>
    <t>Structure</t>
  </si>
  <si>
    <t>Projet/Activité</t>
  </si>
  <si>
    <t>Géographie</t>
  </si>
  <si>
    <t>CGR Complet</t>
  </si>
  <si>
    <t>Etablissement</t>
  </si>
  <si>
    <t>Code évènement</t>
  </si>
  <si>
    <t>FR</t>
  </si>
  <si>
    <t>BF</t>
  </si>
  <si>
    <t>AL</t>
  </si>
  <si>
    <t>AR</t>
  </si>
  <si>
    <t>A01T004</t>
  </si>
  <si>
    <t>CIRAD</t>
  </si>
  <si>
    <t>YSODM</t>
  </si>
  <si>
    <t>oesae.dt3oesae</t>
  </si>
  <si>
    <t>oesae.dt4oesae</t>
  </si>
  <si>
    <t>oesae.n17oesae</t>
  </si>
  <si>
    <t>oesae.nu4oesae</t>
  </si>
  <si>
    <t>oesae.nu5oesae</t>
  </si>
  <si>
    <t>oesae.id1oesae</t>
  </si>
  <si>
    <t>oesae.id5oesae</t>
  </si>
  <si>
    <t>oesae.en4oesae</t>
  </si>
  <si>
    <t>oesae.n11oesae</t>
  </si>
  <si>
    <t>oesae.id2oesae</t>
  </si>
  <si>
    <t>oesae.id6oesae</t>
  </si>
  <si>
    <t>oesae.en5oesae</t>
  </si>
  <si>
    <t>oesae.n12oesae</t>
  </si>
  <si>
    <t>oesae.id3oesae</t>
  </si>
  <si>
    <t>oesae.id7oesae</t>
  </si>
  <si>
    <t>oesae.en6oesae</t>
  </si>
  <si>
    <t>oesae.n13oesae</t>
  </si>
  <si>
    <t>oesae.id4oesae</t>
  </si>
  <si>
    <t>oesae.id8oesae</t>
  </si>
  <si>
    <t>oesae.en7oesae</t>
  </si>
  <si>
    <t>oesae.n14oesae</t>
  </si>
  <si>
    <t>oesae.i10oesae</t>
  </si>
  <si>
    <t>oesae.i12oesae</t>
  </si>
  <si>
    <t>oesae.en8oesae</t>
  </si>
  <si>
    <t>oesae.n15oesae</t>
  </si>
  <si>
    <t>oesae.i11oesae</t>
  </si>
  <si>
    <t>oesae.i14oesae</t>
  </si>
  <si>
    <t>oesae.i13oesae</t>
  </si>
  <si>
    <t>oesae.n16oesae</t>
  </si>
  <si>
    <t>oesae.lb2oesae</t>
  </si>
  <si>
    <t>Date de réception NDF</t>
  </si>
  <si>
    <t>Mission du</t>
  </si>
  <si>
    <t>Congés du</t>
  </si>
  <si>
    <t>Montant des attestations sur l’honneur</t>
  </si>
  <si>
    <t>Hébergement/Restauration</t>
  </si>
  <si>
    <t>+ Autres frais</t>
  </si>
  <si>
    <t>+ Transport</t>
  </si>
  <si>
    <t>- Autres montants perçus</t>
  </si>
  <si>
    <t>= Total note de frais</t>
  </si>
  <si>
    <t>CGR complet</t>
  </si>
  <si>
    <t>Ventilation DSN</t>
  </si>
  <si>
    <t>Nb jours pays 1</t>
  </si>
  <si>
    <t>Coef pays 1</t>
  </si>
  <si>
    <t>Montant pays 1</t>
  </si>
  <si>
    <t>Nb jours pays 2</t>
  </si>
  <si>
    <t>Coef pays 2</t>
  </si>
  <si>
    <t>Montant pays 2</t>
  </si>
  <si>
    <t>Nb jours pays 3</t>
  </si>
  <si>
    <t>Coef pays 3</t>
  </si>
  <si>
    <t>Montant pays 3</t>
  </si>
  <si>
    <t>Nb jours pays 4</t>
  </si>
  <si>
    <t>Coef pays 4</t>
  </si>
  <si>
    <t>Montant pays 4</t>
  </si>
  <si>
    <t>Nb jours pays 5</t>
  </si>
  <si>
    <t>Coef pays 5</t>
  </si>
  <si>
    <t>Montant pays 5</t>
  </si>
  <si>
    <t>Coef pays 6</t>
  </si>
  <si>
    <t>Nb jours pays 6</t>
  </si>
  <si>
    <t>Montant pays 6</t>
  </si>
  <si>
    <t>SC</t>
  </si>
  <si>
    <t>D97601</t>
  </si>
  <si>
    <t>A01T003</t>
  </si>
  <si>
    <t>GP</t>
  </si>
  <si>
    <t>GU</t>
  </si>
  <si>
    <t>MA</t>
  </si>
  <si>
    <t>BR</t>
  </si>
  <si>
    <t>CZ</t>
  </si>
  <si>
    <t>YSNDF</t>
  </si>
  <si>
    <t>RE</t>
  </si>
  <si>
    <t>AF</t>
  </si>
  <si>
    <t>AN</t>
  </si>
  <si>
    <t>AU</t>
  </si>
  <si>
    <t>AZ</t>
  </si>
  <si>
    <t>BA</t>
  </si>
  <si>
    <t>BE</t>
  </si>
  <si>
    <t>Analytique Géo</t>
  </si>
  <si>
    <t>ZA</t>
  </si>
  <si>
    <t>AX</t>
  </si>
  <si>
    <t>DZ</t>
  </si>
  <si>
    <t>DE</t>
  </si>
  <si>
    <t>AD</t>
  </si>
  <si>
    <t>AO</t>
  </si>
  <si>
    <t>AI</t>
  </si>
  <si>
    <t>AQ</t>
  </si>
  <si>
    <t>AG</t>
  </si>
  <si>
    <t>SA</t>
  </si>
  <si>
    <t>AM</t>
  </si>
  <si>
    <t>AW</t>
  </si>
  <si>
    <t>AT</t>
  </si>
  <si>
    <t>BS</t>
  </si>
  <si>
    <t>BH</t>
  </si>
  <si>
    <t>BD</t>
  </si>
  <si>
    <t>BB</t>
  </si>
  <si>
    <t>BY</t>
  </si>
  <si>
    <t>BZ</t>
  </si>
  <si>
    <t>BJ</t>
  </si>
  <si>
    <t>BM</t>
  </si>
  <si>
    <t>BT</t>
  </si>
  <si>
    <t>BO</t>
  </si>
  <si>
    <t>BW</t>
  </si>
  <si>
    <t>BV</t>
  </si>
  <si>
    <t>BN</t>
  </si>
  <si>
    <t>BG</t>
  </si>
  <si>
    <t>BI</t>
  </si>
  <si>
    <t>KY</t>
  </si>
  <si>
    <t>KH</t>
  </si>
  <si>
    <t>CM</t>
  </si>
  <si>
    <t>CA</t>
  </si>
  <si>
    <t>CV</t>
  </si>
  <si>
    <t>CF</t>
  </si>
  <si>
    <t>CL</t>
  </si>
  <si>
    <t>CN</t>
  </si>
  <si>
    <t>CX</t>
  </si>
  <si>
    <t>CY</t>
  </si>
  <si>
    <t>CC</t>
  </si>
  <si>
    <t>CO</t>
  </si>
  <si>
    <t>KM</t>
  </si>
  <si>
    <t>CG</t>
  </si>
  <si>
    <t>CK</t>
  </si>
  <si>
    <t>KR</t>
  </si>
  <si>
    <t>KP</t>
  </si>
  <si>
    <t>CR</t>
  </si>
  <si>
    <t>CI</t>
  </si>
  <si>
    <t>HR</t>
  </si>
  <si>
    <t>CU</t>
  </si>
  <si>
    <t>DK</t>
  </si>
  <si>
    <t>DJ</t>
  </si>
  <si>
    <t>DO</t>
  </si>
  <si>
    <t>DM</t>
  </si>
  <si>
    <t>EG</t>
  </si>
  <si>
    <t>SV</t>
  </si>
  <si>
    <t>AE</t>
  </si>
  <si>
    <t>EC</t>
  </si>
  <si>
    <t>ER</t>
  </si>
  <si>
    <t>ES</t>
  </si>
  <si>
    <t>EE</t>
  </si>
  <si>
    <t>US</t>
  </si>
  <si>
    <t>ET</t>
  </si>
  <si>
    <t>FK</t>
  </si>
  <si>
    <t>FO</t>
  </si>
  <si>
    <t>FJ</t>
  </si>
  <si>
    <t>FI</t>
  </si>
  <si>
    <t>GA</t>
  </si>
  <si>
    <t>GM</t>
  </si>
  <si>
    <t>GE</t>
  </si>
  <si>
    <t>GS</t>
  </si>
  <si>
    <t>GH</t>
  </si>
  <si>
    <t>GI</t>
  </si>
  <si>
    <t>GR</t>
  </si>
  <si>
    <t>GD</t>
  </si>
  <si>
    <t>GL</t>
  </si>
  <si>
    <t>GT</t>
  </si>
  <si>
    <t>GN</t>
  </si>
  <si>
    <t>GQ</t>
  </si>
  <si>
    <t>GW</t>
  </si>
  <si>
    <t>GY</t>
  </si>
  <si>
    <t>GF</t>
  </si>
  <si>
    <t>HT</t>
  </si>
  <si>
    <t>HM</t>
  </si>
  <si>
    <t>HN</t>
  </si>
  <si>
    <t>HK</t>
  </si>
  <si>
    <t>HU</t>
  </si>
  <si>
    <t>VG</t>
  </si>
  <si>
    <t>VI</t>
  </si>
  <si>
    <t>IN</t>
  </si>
  <si>
    <t>ID</t>
  </si>
  <si>
    <t>IR</t>
  </si>
  <si>
    <t>IQ</t>
  </si>
  <si>
    <t>IE</t>
  </si>
  <si>
    <t>IS</t>
  </si>
  <si>
    <t>IL</t>
  </si>
  <si>
    <t>IT</t>
  </si>
  <si>
    <t>JM</t>
  </si>
  <si>
    <t>JP</t>
  </si>
  <si>
    <t>JO</t>
  </si>
  <si>
    <t>KZ</t>
  </si>
  <si>
    <t>KE</t>
  </si>
  <si>
    <t>KG</t>
  </si>
  <si>
    <t>KI</t>
  </si>
  <si>
    <t>KW</t>
  </si>
  <si>
    <t>LA</t>
  </si>
  <si>
    <t>LS</t>
  </si>
  <si>
    <t>LV</t>
  </si>
  <si>
    <t>LB</t>
  </si>
  <si>
    <t>LR</t>
  </si>
  <si>
    <t>LY</t>
  </si>
  <si>
    <t>LI</t>
  </si>
  <si>
    <t>LT</t>
  </si>
  <si>
    <t>LU</t>
  </si>
  <si>
    <t>MO</t>
  </si>
  <si>
    <t>MK</t>
  </si>
  <si>
    <t>MG</t>
  </si>
  <si>
    <t>MI</t>
  </si>
  <si>
    <t>MY</t>
  </si>
  <si>
    <t>MW</t>
  </si>
  <si>
    <t>MV</t>
  </si>
  <si>
    <t>ML</t>
  </si>
  <si>
    <t>MT</t>
  </si>
  <si>
    <t>MP</t>
  </si>
  <si>
    <t>MH</t>
  </si>
  <si>
    <t>MQ</t>
  </si>
  <si>
    <t>MU</t>
  </si>
  <si>
    <t>MR</t>
  </si>
  <si>
    <t>YT</t>
  </si>
  <si>
    <t>MX</t>
  </si>
  <si>
    <t>FM</t>
  </si>
  <si>
    <t>MD</t>
  </si>
  <si>
    <t>MC</t>
  </si>
  <si>
    <t>MN</t>
  </si>
  <si>
    <t>ME</t>
  </si>
  <si>
    <t>MS</t>
  </si>
  <si>
    <t>MZ</t>
  </si>
  <si>
    <t>MM</t>
  </si>
  <si>
    <t>NA</t>
  </si>
  <si>
    <t>NR</t>
  </si>
  <si>
    <t>NP</t>
  </si>
  <si>
    <t>NI</t>
  </si>
  <si>
    <t>NE</t>
  </si>
  <si>
    <t>NG</t>
  </si>
  <si>
    <t>NU</t>
  </si>
  <si>
    <t>NF</t>
  </si>
  <si>
    <t>NO</t>
  </si>
  <si>
    <t>NZ</t>
  </si>
  <si>
    <t>OM</t>
  </si>
  <si>
    <t>UG</t>
  </si>
  <si>
    <t>UZ</t>
  </si>
  <si>
    <t>PK</t>
  </si>
  <si>
    <t>PS</t>
  </si>
  <si>
    <t>PA</t>
  </si>
  <si>
    <t>PG</t>
  </si>
  <si>
    <t>PY</t>
  </si>
  <si>
    <t>NL</t>
  </si>
  <si>
    <t>PE</t>
  </si>
  <si>
    <t>PH</t>
  </si>
  <si>
    <t>PN</t>
  </si>
  <si>
    <t>PL</t>
  </si>
  <si>
    <t>PF</t>
  </si>
  <si>
    <t>PR</t>
  </si>
  <si>
    <t>PT</t>
  </si>
  <si>
    <t>QA</t>
  </si>
  <si>
    <t>CD</t>
  </si>
  <si>
    <t>RO</t>
  </si>
  <si>
    <t>GB</t>
  </si>
  <si>
    <t>RU</t>
  </si>
  <si>
    <t>RW</t>
  </si>
  <si>
    <t>EH</t>
  </si>
  <si>
    <t>BL</t>
  </si>
  <si>
    <t>SH</t>
  </si>
  <si>
    <t>LC</t>
  </si>
  <si>
    <t>KN</t>
  </si>
  <si>
    <t>SM</t>
  </si>
  <si>
    <t>MF</t>
  </si>
  <si>
    <t>PM</t>
  </si>
  <si>
    <t>SB</t>
  </si>
  <si>
    <t>WS</t>
  </si>
  <si>
    <t>AS</t>
  </si>
  <si>
    <t>ST</t>
  </si>
  <si>
    <t>SN</t>
  </si>
  <si>
    <t>RS</t>
  </si>
  <si>
    <t>SL</t>
  </si>
  <si>
    <t>SG</t>
  </si>
  <si>
    <t>SK</t>
  </si>
  <si>
    <t>SI</t>
  </si>
  <si>
    <t>SO</t>
  </si>
  <si>
    <t>SD</t>
  </si>
  <si>
    <t>LK</t>
  </si>
  <si>
    <t>VC</t>
  </si>
  <si>
    <t>SE</t>
  </si>
  <si>
    <t>CH</t>
  </si>
  <si>
    <t>SR</t>
  </si>
  <si>
    <t>SJ</t>
  </si>
  <si>
    <t>SZ</t>
  </si>
  <si>
    <t>SY</t>
  </si>
  <si>
    <t>TJ</t>
  </si>
  <si>
    <t>TW</t>
  </si>
  <si>
    <t>TZ</t>
  </si>
  <si>
    <t>TD</t>
  </si>
  <si>
    <t>TF</t>
  </si>
  <si>
    <t>TH</t>
  </si>
  <si>
    <t>TL</t>
  </si>
  <si>
    <t>TG</t>
  </si>
  <si>
    <t>TK</t>
  </si>
  <si>
    <t>TO</t>
  </si>
  <si>
    <t>TT</t>
  </si>
  <si>
    <t>TN</t>
  </si>
  <si>
    <t>TM</t>
  </si>
  <si>
    <t>TC</t>
  </si>
  <si>
    <t>TR</t>
  </si>
  <si>
    <t>TV</t>
  </si>
  <si>
    <t>UA</t>
  </si>
  <si>
    <t>UY</t>
  </si>
  <si>
    <t>VU</t>
  </si>
  <si>
    <t>VA</t>
  </si>
  <si>
    <t>VE</t>
  </si>
  <si>
    <t>VN</t>
  </si>
  <si>
    <t>WF</t>
  </si>
  <si>
    <t>YE</t>
  </si>
  <si>
    <t>ZM</t>
  </si>
  <si>
    <t>ZW</t>
  </si>
  <si>
    <t>Matricule</t>
  </si>
  <si>
    <t>Prénom :</t>
  </si>
  <si>
    <t>Structure :</t>
  </si>
  <si>
    <t>Projet/activité :</t>
  </si>
  <si>
    <t>Géo :</t>
  </si>
  <si>
    <t>Nb j missions</t>
  </si>
  <si>
    <t>IS hors charge</t>
  </si>
  <si>
    <t>Type contrat</t>
  </si>
  <si>
    <t>Contrat</t>
  </si>
  <si>
    <t>ALLR</t>
  </si>
  <si>
    <t>APR</t>
  </si>
  <si>
    <t>CDI</t>
  </si>
  <si>
    <t>Non (Ciradiens détachés dans autres organismes)</t>
  </si>
  <si>
    <t>Oui si mission à la demande du Cirad</t>
  </si>
  <si>
    <t>CPRO</t>
  </si>
  <si>
    <t>Contrat professionnalisation</t>
  </si>
  <si>
    <t>VSC</t>
  </si>
  <si>
    <t>IS avec charge et congés déduites</t>
  </si>
  <si>
    <t>IS hors charge et congés déduites</t>
  </si>
  <si>
    <t xml:space="preserve">Pays de rattachement : </t>
  </si>
  <si>
    <t>Géographie :</t>
  </si>
  <si>
    <t>P/Act</t>
  </si>
  <si>
    <t>Géo</t>
  </si>
  <si>
    <t>COD_SEGMENT</t>
  </si>
  <si>
    <t>LIB_LONG_SEGMENT</t>
  </si>
  <si>
    <t>Concaténation</t>
  </si>
  <si>
    <t>A01700</t>
  </si>
  <si>
    <t>A05100</t>
  </si>
  <si>
    <t>A05300</t>
  </si>
  <si>
    <t>A05500</t>
  </si>
  <si>
    <t>A10000</t>
  </si>
  <si>
    <t>A10800</t>
  </si>
  <si>
    <t>A10802</t>
  </si>
  <si>
    <t>A10803</t>
  </si>
  <si>
    <t>A10804</t>
  </si>
  <si>
    <t>A10805</t>
  </si>
  <si>
    <t>A10806</t>
  </si>
  <si>
    <t>A10807</t>
  </si>
  <si>
    <t>A10808</t>
  </si>
  <si>
    <t>A10809</t>
  </si>
  <si>
    <t>A10812</t>
  </si>
  <si>
    <t>A10817</t>
  </si>
  <si>
    <t>A10818</t>
  </si>
  <si>
    <t>A11700</t>
  </si>
  <si>
    <t>B02600</t>
  </si>
  <si>
    <t>B04900</t>
  </si>
  <si>
    <t>B07800</t>
  </si>
  <si>
    <t>B09500</t>
  </si>
  <si>
    <t>B10300</t>
  </si>
  <si>
    <t>B11100</t>
  </si>
  <si>
    <t>B11400</t>
  </si>
  <si>
    <t>B11500</t>
  </si>
  <si>
    <t>B11600</t>
  </si>
  <si>
    <t>C05600</t>
  </si>
  <si>
    <t>C08500</t>
  </si>
  <si>
    <t>C09000</t>
  </si>
  <si>
    <t>C09100</t>
  </si>
  <si>
    <t>C09300</t>
  </si>
  <si>
    <t>C09900</t>
  </si>
  <si>
    <t>C10500</t>
  </si>
  <si>
    <t>C11200</t>
  </si>
  <si>
    <t>C11300</t>
  </si>
  <si>
    <t>D94400</t>
  </si>
  <si>
    <t>DSI</t>
  </si>
  <si>
    <t>D94500</t>
  </si>
  <si>
    <t>D94600</t>
  </si>
  <si>
    <t>DRAG - Management - Animation</t>
  </si>
  <si>
    <t>D94601</t>
  </si>
  <si>
    <t>DRAG - DR Guyane</t>
  </si>
  <si>
    <t>D94602</t>
  </si>
  <si>
    <t>DRAG - DR Guadeloupe</t>
  </si>
  <si>
    <t>D94603</t>
  </si>
  <si>
    <t>DRAG - DR Martinique</t>
  </si>
  <si>
    <t>D94700</t>
  </si>
  <si>
    <t>D94800</t>
  </si>
  <si>
    <t>DRIF - Management - Animation</t>
  </si>
  <si>
    <t>D94801</t>
  </si>
  <si>
    <t>DRIF - GRET</t>
  </si>
  <si>
    <t>D94802</t>
  </si>
  <si>
    <t>DRIF - IDDRI</t>
  </si>
  <si>
    <t>D94900</t>
  </si>
  <si>
    <t>DGD-RD - Management - Animation</t>
  </si>
  <si>
    <t>D94901</t>
  </si>
  <si>
    <t>DGD-RD - DAchats</t>
  </si>
  <si>
    <t>D94902</t>
  </si>
  <si>
    <t>DGD-RD - DArchives</t>
  </si>
  <si>
    <t>D94903</t>
  </si>
  <si>
    <t>DGD-RD - DJuridique</t>
  </si>
  <si>
    <t>D94904</t>
  </si>
  <si>
    <t>DGD-RD - DSST</t>
  </si>
  <si>
    <t>D95800</t>
  </si>
  <si>
    <t>DAE</t>
  </si>
  <si>
    <t>D95900</t>
  </si>
  <si>
    <t>DIST - Management - Animation</t>
  </si>
  <si>
    <t>D95901</t>
  </si>
  <si>
    <t>DIST - Appui à la recherche</t>
  </si>
  <si>
    <t>D95902</t>
  </si>
  <si>
    <t>DIST - Bibliothèques</t>
  </si>
  <si>
    <t>D95903</t>
  </si>
  <si>
    <t>DIST - Référentiels en IST</t>
  </si>
  <si>
    <t>D95904</t>
  </si>
  <si>
    <t>DIST - Appui à la publication</t>
  </si>
  <si>
    <t>D95905</t>
  </si>
  <si>
    <t>DIST - QUAE-Cirad</t>
  </si>
  <si>
    <t>D96100</t>
  </si>
  <si>
    <t>DGD-RS - Management - Animation</t>
  </si>
  <si>
    <t>D96104</t>
  </si>
  <si>
    <t>D96300</t>
  </si>
  <si>
    <t>DELCOM - Management - Animation</t>
  </si>
  <si>
    <t>D96301</t>
  </si>
  <si>
    <t>D96302</t>
  </si>
  <si>
    <t>DELCOM - Supports institutionnels</t>
  </si>
  <si>
    <t>D96303</t>
  </si>
  <si>
    <t>D96304</t>
  </si>
  <si>
    <t>D97400</t>
  </si>
  <si>
    <t>DRH - Management - Animation</t>
  </si>
  <si>
    <t>D97401</t>
  </si>
  <si>
    <t>DRH - Accompagnement management</t>
  </si>
  <si>
    <t>D97402</t>
  </si>
  <si>
    <t>DRH - Gestion des carrières</t>
  </si>
  <si>
    <t>D97403</t>
  </si>
  <si>
    <t>DRH - Adéquations besoins - ressources en compétences</t>
  </si>
  <si>
    <t>D97404</t>
  </si>
  <si>
    <t>DRH - Formation</t>
  </si>
  <si>
    <t>D97405</t>
  </si>
  <si>
    <t>DRH - Accueil</t>
  </si>
  <si>
    <t>D97406</t>
  </si>
  <si>
    <t>DRH - Administration RH</t>
  </si>
  <si>
    <t>D97407</t>
  </si>
  <si>
    <t>DRH - Relations sociales et contractuelles</t>
  </si>
  <si>
    <t>D97408</t>
  </si>
  <si>
    <t>DRH - Développement social</t>
  </si>
  <si>
    <t>D97409</t>
  </si>
  <si>
    <t>DRH - Etudes et projets</t>
  </si>
  <si>
    <t>D97500</t>
  </si>
  <si>
    <t>DITAM</t>
  </si>
  <si>
    <t>D97600</t>
  </si>
  <si>
    <t>DCAF - Management - Animation</t>
  </si>
  <si>
    <t>DCAF - Comptabilité</t>
  </si>
  <si>
    <t>D97602</t>
  </si>
  <si>
    <t>D97603</t>
  </si>
  <si>
    <t>DCAF - Budget central</t>
  </si>
  <si>
    <t>D97604</t>
  </si>
  <si>
    <t>DCAF - Budget déconcentré</t>
  </si>
  <si>
    <t>D97605</t>
  </si>
  <si>
    <t>DCAF - Gestion de contrats</t>
  </si>
  <si>
    <t>D97606</t>
  </si>
  <si>
    <t>DCAF - Recouvrement</t>
  </si>
  <si>
    <t>DCAF - G2M</t>
  </si>
  <si>
    <t>D98500</t>
  </si>
  <si>
    <t>PDG - Management - Animation</t>
  </si>
  <si>
    <t>D98501</t>
  </si>
  <si>
    <t>PDG - DirDep Bios</t>
  </si>
  <si>
    <t>D98502</t>
  </si>
  <si>
    <t>PDG - DirDep Persyst</t>
  </si>
  <si>
    <t>D98503</t>
  </si>
  <si>
    <t>PDG - DirDep Es</t>
  </si>
  <si>
    <t>Structure technique</t>
  </si>
  <si>
    <t>A01T001</t>
  </si>
  <si>
    <t>Fonctionnement Direction, management, appui</t>
  </si>
  <si>
    <t>A01T002</t>
  </si>
  <si>
    <t>Comitologie</t>
  </si>
  <si>
    <t>Animation scientifique</t>
  </si>
  <si>
    <t>Fonctionnement opérationnel</t>
  </si>
  <si>
    <t>A02T001</t>
  </si>
  <si>
    <t>Soutien aux doctorants</t>
  </si>
  <si>
    <t>A02T002</t>
  </si>
  <si>
    <t>Soutien aux DP</t>
  </si>
  <si>
    <t>A02T003</t>
  </si>
  <si>
    <t>CRESi</t>
  </si>
  <si>
    <t>A02T004</t>
  </si>
  <si>
    <t>ProPIS</t>
  </si>
  <si>
    <t>A02T005</t>
  </si>
  <si>
    <t>Actions de valorisation</t>
  </si>
  <si>
    <t>A02T006</t>
  </si>
  <si>
    <t>Renforcement compétences chercheurs du Sud</t>
  </si>
  <si>
    <t>A02T007</t>
  </si>
  <si>
    <t>Formation collectives au Sud</t>
  </si>
  <si>
    <t>A02T008</t>
  </si>
  <si>
    <t>Equipements scientifiques</t>
  </si>
  <si>
    <t>A02T009</t>
  </si>
  <si>
    <t>GloFoodS</t>
  </si>
  <si>
    <t>A02T010</t>
  </si>
  <si>
    <t>Préciput ANR</t>
  </si>
  <si>
    <t>A03T001</t>
  </si>
  <si>
    <t>Analyse</t>
  </si>
  <si>
    <t>A03T002</t>
  </si>
  <si>
    <t>Biomasse Energie</t>
  </si>
  <si>
    <t>A03T003</t>
  </si>
  <si>
    <t>Biomasse Matériaux</t>
  </si>
  <si>
    <t>A03T004</t>
  </si>
  <si>
    <t>Anaee</t>
  </si>
  <si>
    <t>A03T005</t>
  </si>
  <si>
    <t>Méditeranéa - Palavas</t>
  </si>
  <si>
    <t>A03T006</t>
  </si>
  <si>
    <t>Mtechno - Halle de Recherche</t>
  </si>
  <si>
    <t>A03T007</t>
  </si>
  <si>
    <t>Mtechno - Labo de Recherche</t>
  </si>
  <si>
    <t>A03T008</t>
  </si>
  <si>
    <t>IATE</t>
  </si>
  <si>
    <t>A03T009</t>
  </si>
  <si>
    <t>LBTNR</t>
  </si>
  <si>
    <t>A03T010</t>
  </si>
  <si>
    <t>Recyclage - Plateau technique</t>
  </si>
  <si>
    <t>A03T011</t>
  </si>
  <si>
    <t>Soere Pro Run</t>
  </si>
  <si>
    <t>A03T012</t>
  </si>
  <si>
    <t>3-12 Insectarium</t>
  </si>
  <si>
    <t>A03T013</t>
  </si>
  <si>
    <t>3-13 Animalerie</t>
  </si>
  <si>
    <t>A03T014</t>
  </si>
  <si>
    <t>P2</t>
  </si>
  <si>
    <t>A03T015</t>
  </si>
  <si>
    <t>P3</t>
  </si>
  <si>
    <t>A03T016</t>
  </si>
  <si>
    <t>Musc</t>
  </si>
  <si>
    <t>A03T017</t>
  </si>
  <si>
    <t>Plantnet</t>
  </si>
  <si>
    <t>A03T018</t>
  </si>
  <si>
    <t>Génomique</t>
  </si>
  <si>
    <t>A03T019</t>
  </si>
  <si>
    <t>Bio Analyse</t>
  </si>
  <si>
    <t>A03T020</t>
  </si>
  <si>
    <t>Conservation données</t>
  </si>
  <si>
    <t>A03T021</t>
  </si>
  <si>
    <t>Imagerie Phiv (sans historisation)</t>
  </si>
  <si>
    <t>A03T022</t>
  </si>
  <si>
    <t>Imagerie Phiv (historisation)</t>
  </si>
  <si>
    <t>A03T023</t>
  </si>
  <si>
    <t>Biochimie</t>
  </si>
  <si>
    <t>A03T024</t>
  </si>
  <si>
    <t>Ecophysiologie</t>
  </si>
  <si>
    <t>A03T025</t>
  </si>
  <si>
    <t>Rhizoscope</t>
  </si>
  <si>
    <t>A03T026</t>
  </si>
  <si>
    <t>CRB Tropical</t>
  </si>
  <si>
    <t>A03T027</t>
  </si>
  <si>
    <t>Herbier ALF</t>
  </si>
  <si>
    <t>A03T028</t>
  </si>
  <si>
    <t>Combi</t>
  </si>
  <si>
    <t>A03T029</t>
  </si>
  <si>
    <t>CRB PPT</t>
  </si>
  <si>
    <t>A03T030</t>
  </si>
  <si>
    <t>CRB Plantes tropicales</t>
  </si>
  <si>
    <t>A03T031</t>
  </si>
  <si>
    <t>3P</t>
  </si>
  <si>
    <t>A03T032</t>
  </si>
  <si>
    <t>CRB Vatel</t>
  </si>
  <si>
    <t>A03T033</t>
  </si>
  <si>
    <t>Paracou</t>
  </si>
  <si>
    <t>A03T034</t>
  </si>
  <si>
    <t>Pariacabo</t>
  </si>
  <si>
    <t>A03T035</t>
  </si>
  <si>
    <t>Renater</t>
  </si>
  <si>
    <t>A03T036</t>
  </si>
  <si>
    <t>Serres type S1</t>
  </si>
  <si>
    <t>A03T037</t>
  </si>
  <si>
    <t>Serres type S2</t>
  </si>
  <si>
    <t>A03T038</t>
  </si>
  <si>
    <t>Serres type S18</t>
  </si>
  <si>
    <t>A04T001</t>
  </si>
  <si>
    <t>Autres opérations (dont hors C3)</t>
  </si>
  <si>
    <t>A05T001</t>
  </si>
  <si>
    <t>Patrimoine prof. projet 1</t>
  </si>
  <si>
    <t>A05T002</t>
  </si>
  <si>
    <t>Patrimoine prof. projet 2</t>
  </si>
  <si>
    <t>A05T003</t>
  </si>
  <si>
    <t>CPER 1</t>
  </si>
  <si>
    <t>A06T001</t>
  </si>
  <si>
    <t>Gestion et entretien courant du site - Montpellier</t>
  </si>
  <si>
    <t>A06T002</t>
  </si>
  <si>
    <t>Gestion et entretien courant du site - Paris</t>
  </si>
  <si>
    <t>A06T003</t>
  </si>
  <si>
    <t>Gestion et entretien courant du site - Nogent</t>
  </si>
  <si>
    <t>A06T004</t>
  </si>
  <si>
    <t>Gestion et entretien courant du site - Site Dom</t>
  </si>
  <si>
    <t>A06T005</t>
  </si>
  <si>
    <t>Projet réfection réseaux alim. eau potable</t>
  </si>
  <si>
    <t>A06T006</t>
  </si>
  <si>
    <t>Projet accessibilité aux personnes à mobilité réduite</t>
  </si>
  <si>
    <t>A06T007</t>
  </si>
  <si>
    <t>Projet réfection tableaux généraux basse tension Lav.</t>
  </si>
  <si>
    <t>A07T001</t>
  </si>
  <si>
    <t>Exploitation du patrimoine et infrastructures - Montpellier</t>
  </si>
  <si>
    <t>A07T002</t>
  </si>
  <si>
    <t>Exploitation du patrimoine et des infrastructures - Paris</t>
  </si>
  <si>
    <t>A07T003</t>
  </si>
  <si>
    <t>Exploitation du patrimoine et des infrastructures - Nogent</t>
  </si>
  <si>
    <t>A07T004</t>
  </si>
  <si>
    <t>Exploitation du patrimoine et des infrastructures - Site Dom</t>
  </si>
  <si>
    <t>A08T001</t>
  </si>
  <si>
    <t>Restauration du personnel</t>
  </si>
  <si>
    <t>A08T002</t>
  </si>
  <si>
    <t>Téléphonie</t>
  </si>
  <si>
    <t>A08T003</t>
  </si>
  <si>
    <t>Affranchissement</t>
  </si>
  <si>
    <t>A08T004</t>
  </si>
  <si>
    <t>Sécurisation des sites</t>
  </si>
  <si>
    <t>A08T005</t>
  </si>
  <si>
    <t>Nettoyage des locaux</t>
  </si>
  <si>
    <t>A08T006</t>
  </si>
  <si>
    <t>Multiservice Montpellier</t>
  </si>
  <si>
    <t>A08T007</t>
  </si>
  <si>
    <t>Multiservice Paris</t>
  </si>
  <si>
    <t>A08T008</t>
  </si>
  <si>
    <t>Multiservice Site Dom</t>
  </si>
  <si>
    <t>A08T009</t>
  </si>
  <si>
    <t>Pool de véhicules</t>
  </si>
  <si>
    <t>A08T010</t>
  </si>
  <si>
    <t>Autres services</t>
  </si>
  <si>
    <t>A09T000</t>
  </si>
  <si>
    <t>Patrimoine à usage non professionnel</t>
  </si>
  <si>
    <t>A10T001</t>
  </si>
  <si>
    <t>Evènements externes autres que SIA</t>
  </si>
  <si>
    <t>A10T002</t>
  </si>
  <si>
    <t>Evènements internes</t>
  </si>
  <si>
    <t>A10T003</t>
  </si>
  <si>
    <t>SIA 2018</t>
  </si>
  <si>
    <t>A10T004</t>
  </si>
  <si>
    <t>SIA 2019</t>
  </si>
  <si>
    <t>A10T005</t>
  </si>
  <si>
    <t>SIA 2020</t>
  </si>
  <si>
    <t>A11T001</t>
  </si>
  <si>
    <t>Solutions SI projet 1</t>
  </si>
  <si>
    <t>A11T002</t>
  </si>
  <si>
    <t>Solutions SI Projet 2…</t>
  </si>
  <si>
    <t>A12T001</t>
  </si>
  <si>
    <t>Evolution du SI existant appui à la recherche</t>
  </si>
  <si>
    <t>A12T002</t>
  </si>
  <si>
    <t>Evolution du SI existant appui à la gestion</t>
  </si>
  <si>
    <t>A12T003</t>
  </si>
  <si>
    <t>Sécurité du SI</t>
  </si>
  <si>
    <t>A12T004</t>
  </si>
  <si>
    <t>Maintenance externalisée du SI</t>
  </si>
  <si>
    <t>A13T001</t>
  </si>
  <si>
    <t>Assistance informatique</t>
  </si>
  <si>
    <t>A13T002</t>
  </si>
  <si>
    <t>Suivi des services au catalogue DSI</t>
  </si>
  <si>
    <t>A99T001</t>
  </si>
  <si>
    <t>Formation professionnelle hors FAFSEA</t>
  </si>
  <si>
    <t>A99T002</t>
  </si>
  <si>
    <t>Ingénierie formation FAFSEA</t>
  </si>
  <si>
    <t>A99T003</t>
  </si>
  <si>
    <t>CE</t>
  </si>
  <si>
    <t>A99T004</t>
  </si>
  <si>
    <t>Accompagnement social</t>
  </si>
  <si>
    <t>A99T005</t>
  </si>
  <si>
    <t>Campus hors AI et fonct hors boursiers</t>
  </si>
  <si>
    <t>A99T006</t>
  </si>
  <si>
    <t>Mobilité (Assistance et subvention voyages)</t>
  </si>
  <si>
    <t>A99T007</t>
  </si>
  <si>
    <t>Pôle emploi</t>
  </si>
  <si>
    <t>A99T008</t>
  </si>
  <si>
    <t>Indemnités fin de carrières</t>
  </si>
  <si>
    <t>A99T009</t>
  </si>
  <si>
    <t>Contentieux</t>
  </si>
  <si>
    <t>A99T010</t>
  </si>
  <si>
    <t>Evaluation individuelle et des collectifs</t>
  </si>
  <si>
    <t>A99T011</t>
  </si>
  <si>
    <t>Achats IST à usage tout Cirad</t>
  </si>
  <si>
    <t>A99T012</t>
  </si>
  <si>
    <t>Edition (revues et soutien éditorial)</t>
  </si>
  <si>
    <t>A99T013</t>
  </si>
  <si>
    <t>Propriété intellectuelle</t>
  </si>
  <si>
    <t>A99T014</t>
  </si>
  <si>
    <t>Côtisations institutionnelles</t>
  </si>
  <si>
    <t>A99T015</t>
  </si>
  <si>
    <t>Patrimoine numérique</t>
  </si>
  <si>
    <t>A99T016</t>
  </si>
  <si>
    <t>Consortium Agreenium</t>
  </si>
  <si>
    <t>A99T017</t>
  </si>
  <si>
    <t>Impact de la recherche</t>
  </si>
  <si>
    <t>A99T018</t>
  </si>
  <si>
    <t>Correspondants filières</t>
  </si>
  <si>
    <t>A99T019</t>
  </si>
  <si>
    <t>Soutien projets européens</t>
  </si>
  <si>
    <t>A99T020</t>
  </si>
  <si>
    <t>Filiales</t>
  </si>
  <si>
    <t>A99T021</t>
  </si>
  <si>
    <t>Autres dossiers spécifiques DCAF</t>
  </si>
  <si>
    <t>Andorre</t>
  </si>
  <si>
    <t>Émirats arabes unis</t>
  </si>
  <si>
    <t>Afghanistan</t>
  </si>
  <si>
    <t>Antigua-et-Barbuda</t>
  </si>
  <si>
    <t>Anguilla</t>
  </si>
  <si>
    <t>Albanie</t>
  </si>
  <si>
    <t>Arménie</t>
  </si>
  <si>
    <t>Antilles néerlandaises</t>
  </si>
  <si>
    <t>Angola</t>
  </si>
  <si>
    <t>Antarctique</t>
  </si>
  <si>
    <t>Argentine</t>
  </si>
  <si>
    <t>Samoa américaines</t>
  </si>
  <si>
    <t>Autriche</t>
  </si>
  <si>
    <t>Australie</t>
  </si>
  <si>
    <t>Aruba</t>
  </si>
  <si>
    <t>Îles Åland</t>
  </si>
  <si>
    <t>Azerbaïdjan</t>
  </si>
  <si>
    <t>Bosnie-Herzégovine</t>
  </si>
  <si>
    <t>Barbade</t>
  </si>
  <si>
    <t>Bangladesh</t>
  </si>
  <si>
    <t>Belgique</t>
  </si>
  <si>
    <t>Burkina Faso</t>
  </si>
  <si>
    <t>Bulgarie</t>
  </si>
  <si>
    <t>Bahreïn</t>
  </si>
  <si>
    <t>Burundi</t>
  </si>
  <si>
    <t>Bénin</t>
  </si>
  <si>
    <t>Saint-Barthélemy</t>
  </si>
  <si>
    <t>Bermudes</t>
  </si>
  <si>
    <t>Brunei</t>
  </si>
  <si>
    <t>Bolivie</t>
  </si>
  <si>
    <t>BQ</t>
  </si>
  <si>
    <t>Pays-Bas caribéens</t>
  </si>
  <si>
    <t>Brésil</t>
  </si>
  <si>
    <t>Bahamas</t>
  </si>
  <si>
    <t>Bhoutan</t>
  </si>
  <si>
    <t>Île Bouvet</t>
  </si>
  <si>
    <t>Botswana</t>
  </si>
  <si>
    <t>Biélorussie</t>
  </si>
  <si>
    <t>Belize</t>
  </si>
  <si>
    <t>Canada</t>
  </si>
  <si>
    <t>Îles Cocos</t>
  </si>
  <si>
    <t>République démocratique du Congo</t>
  </si>
  <si>
    <t>République centrafricaine</t>
  </si>
  <si>
    <t>République du Congo</t>
  </si>
  <si>
    <t>Suisse</t>
  </si>
  <si>
    <t>Côte d'Ivoire</t>
  </si>
  <si>
    <t>Îles Cook</t>
  </si>
  <si>
    <t>Chili</t>
  </si>
  <si>
    <t>CLO</t>
  </si>
  <si>
    <t>Clôture axe 3</t>
  </si>
  <si>
    <t>Cameroun</t>
  </si>
  <si>
    <t>Chine</t>
  </si>
  <si>
    <t>Colombie</t>
  </si>
  <si>
    <t>Costa Rica</t>
  </si>
  <si>
    <t>Cuba</t>
  </si>
  <si>
    <t>Cap-Vert</t>
  </si>
  <si>
    <t>CW</t>
  </si>
  <si>
    <t>Curaçao</t>
  </si>
  <si>
    <t>Île Christmas</t>
  </si>
  <si>
    <t>Chypre (pays)</t>
  </si>
  <si>
    <t>Tchéquie</t>
  </si>
  <si>
    <t>Allemagne</t>
  </si>
  <si>
    <t>Djibouti</t>
  </si>
  <si>
    <t>Danemark</t>
  </si>
  <si>
    <t>Dominique</t>
  </si>
  <si>
    <t>République dominicaine</t>
  </si>
  <si>
    <t>Algérie</t>
  </si>
  <si>
    <t>Équateur (pays)</t>
  </si>
  <si>
    <t>Estonie</t>
  </si>
  <si>
    <t>Égypte</t>
  </si>
  <si>
    <t>République arabe sahraouie démocratique</t>
  </si>
  <si>
    <t>Érythrée</t>
  </si>
  <si>
    <t>Espagne</t>
  </si>
  <si>
    <t>Éthiopie</t>
  </si>
  <si>
    <t>Finlande</t>
  </si>
  <si>
    <t>Fidji</t>
  </si>
  <si>
    <t>Malouines</t>
  </si>
  <si>
    <t>Micronésie (pays)</t>
  </si>
  <si>
    <t>Îles Féroé</t>
  </si>
  <si>
    <t>Gabon</t>
  </si>
  <si>
    <t>Royaume-Uni</t>
  </si>
  <si>
    <t>Grenade (pays)</t>
  </si>
  <si>
    <t>Géorgie (pays)</t>
  </si>
  <si>
    <t>Guyane</t>
  </si>
  <si>
    <t>GG</t>
  </si>
  <si>
    <t>Guernesey</t>
  </si>
  <si>
    <t>Ghana</t>
  </si>
  <si>
    <t>Gibraltar</t>
  </si>
  <si>
    <t>Groenland</t>
  </si>
  <si>
    <t>Gambie</t>
  </si>
  <si>
    <t>Guinée</t>
  </si>
  <si>
    <t>Guadeloupe</t>
  </si>
  <si>
    <t>Guinée équatoriale</t>
  </si>
  <si>
    <t>Grèce</t>
  </si>
  <si>
    <t>Géorgie du Sud-et-les Îles Sandwich du Sud</t>
  </si>
  <si>
    <t>Guatemala</t>
  </si>
  <si>
    <t>Guam</t>
  </si>
  <si>
    <t>Guinée-Bissau</t>
  </si>
  <si>
    <t>Guyana</t>
  </si>
  <si>
    <t>Hong Kong</t>
  </si>
  <si>
    <t>Îles Heard-et-MacDonald</t>
  </si>
  <si>
    <t>Honduras</t>
  </si>
  <si>
    <t>Croatie</t>
  </si>
  <si>
    <t>Haïti</t>
  </si>
  <si>
    <t>Hongrie</t>
  </si>
  <si>
    <t>Indonésie</t>
  </si>
  <si>
    <t>Irlande (pays)</t>
  </si>
  <si>
    <t>Israël</t>
  </si>
  <si>
    <t>IM</t>
  </si>
  <si>
    <t>Île de Man</t>
  </si>
  <si>
    <t>Inde</t>
  </si>
  <si>
    <t>IO</t>
  </si>
  <si>
    <t>Territoire britannique de l'océan Indien</t>
  </si>
  <si>
    <t>Irak</t>
  </si>
  <si>
    <t>Iran</t>
  </si>
  <si>
    <t>Islande</t>
  </si>
  <si>
    <t>Italie</t>
  </si>
  <si>
    <t>JE</t>
  </si>
  <si>
    <t>Jersey</t>
  </si>
  <si>
    <t>Jamaïque</t>
  </si>
  <si>
    <t>Jordanie</t>
  </si>
  <si>
    <t>Japon</t>
  </si>
  <si>
    <t>Kenya</t>
  </si>
  <si>
    <t>Kirghizistan</t>
  </si>
  <si>
    <t>Cambodge</t>
  </si>
  <si>
    <t>Kiribati</t>
  </si>
  <si>
    <t>Comores (pays)</t>
  </si>
  <si>
    <t>Saint-Christophe-et-Niévès</t>
  </si>
  <si>
    <t>Corée du Nord</t>
  </si>
  <si>
    <t>Corée du Sud</t>
  </si>
  <si>
    <t>Koweït</t>
  </si>
  <si>
    <t>Îles Caïmans</t>
  </si>
  <si>
    <t>Kazakhstan</t>
  </si>
  <si>
    <t>Laos</t>
  </si>
  <si>
    <t>Liban</t>
  </si>
  <si>
    <t>Sainte-Lucie</t>
  </si>
  <si>
    <t>Liechtenstein</t>
  </si>
  <si>
    <t>Sri Lanka</t>
  </si>
  <si>
    <t>Liberia</t>
  </si>
  <si>
    <t>Lesotho</t>
  </si>
  <si>
    <t>Lituanie</t>
  </si>
  <si>
    <t>Luxembourg (pays)</t>
  </si>
  <si>
    <t>Lettonie</t>
  </si>
  <si>
    <t>Libye</t>
  </si>
  <si>
    <t>Maroc</t>
  </si>
  <si>
    <t>Monaco</t>
  </si>
  <si>
    <t>Moldavie</t>
  </si>
  <si>
    <t>Monténégro</t>
  </si>
  <si>
    <t>Saint-Martin</t>
  </si>
  <si>
    <t>Madagascar</t>
  </si>
  <si>
    <t>Îles Marshall (pays)</t>
  </si>
  <si>
    <t>Madère</t>
  </si>
  <si>
    <t>République de Macédoine (pays)</t>
  </si>
  <si>
    <t>Mali</t>
  </si>
  <si>
    <t>Birmanie</t>
  </si>
  <si>
    <t>Mongolie</t>
  </si>
  <si>
    <t>Macao</t>
  </si>
  <si>
    <t>Îles Mariannes du Nord</t>
  </si>
  <si>
    <t>Martinique</t>
  </si>
  <si>
    <t>Mauritanie</t>
  </si>
  <si>
    <t>Montserrat</t>
  </si>
  <si>
    <t>Malte</t>
  </si>
  <si>
    <t>Maurice (pays)</t>
  </si>
  <si>
    <t>Maldives</t>
  </si>
  <si>
    <t>Malawi</t>
  </si>
  <si>
    <t>Mexique</t>
  </si>
  <si>
    <t>Malaisie</t>
  </si>
  <si>
    <t>Mozambique</t>
  </si>
  <si>
    <t>Namibie</t>
  </si>
  <si>
    <t>Nouvelle-Calédonie</t>
  </si>
  <si>
    <t>Niger</t>
  </si>
  <si>
    <t>Île Norfolk</t>
  </si>
  <si>
    <t>Nigeria</t>
  </si>
  <si>
    <t>Nicaragua</t>
  </si>
  <si>
    <t>Pays-Bas</t>
  </si>
  <si>
    <t>Norvège</t>
  </si>
  <si>
    <t>Népal</t>
  </si>
  <si>
    <t>Nauru</t>
  </si>
  <si>
    <t>Niue</t>
  </si>
  <si>
    <t>Nouvelle-Zélande</t>
  </si>
  <si>
    <t>Oman</t>
  </si>
  <si>
    <t>Panama</t>
  </si>
  <si>
    <t>Pérou</t>
  </si>
  <si>
    <t>Polynésie française</t>
  </si>
  <si>
    <t>Papouasie-Nouvelle-Guinée</t>
  </si>
  <si>
    <t>Philippines</t>
  </si>
  <si>
    <t>Pakistan</t>
  </si>
  <si>
    <t>Pologne</t>
  </si>
  <si>
    <t>Saint-Pierre-et-Miquelon</t>
  </si>
  <si>
    <t>Îles Pitcairn</t>
  </si>
  <si>
    <t>Porto Rico</t>
  </si>
  <si>
    <t>Palestine</t>
  </si>
  <si>
    <t>Portugal</t>
  </si>
  <si>
    <t>PW</t>
  </si>
  <si>
    <t>Palaos</t>
  </si>
  <si>
    <t>Paraguay</t>
  </si>
  <si>
    <t>Qatar</t>
  </si>
  <si>
    <t>La Réunion</t>
  </si>
  <si>
    <t>Roumanie</t>
  </si>
  <si>
    <t>Serbie</t>
  </si>
  <si>
    <t>Russie</t>
  </si>
  <si>
    <t>Rwanda</t>
  </si>
  <si>
    <t>Arabie saoudite</t>
  </si>
  <si>
    <t>Salomon</t>
  </si>
  <si>
    <t>Seychelles</t>
  </si>
  <si>
    <t>Soudan</t>
  </si>
  <si>
    <t>Suède</t>
  </si>
  <si>
    <t>Singapour</t>
  </si>
  <si>
    <t>Sainte-Hélène, Ascension et Tristan da Cunha</t>
  </si>
  <si>
    <t>Slovénie</t>
  </si>
  <si>
    <t>Svalbard et ile Jan Mayen</t>
  </si>
  <si>
    <t>Slovaquie</t>
  </si>
  <si>
    <t>Sierra Leone</t>
  </si>
  <si>
    <t>Saint-Marin</t>
  </si>
  <si>
    <t>Sénégal</t>
  </si>
  <si>
    <t>Somalie</t>
  </si>
  <si>
    <t>Suriname</t>
  </si>
  <si>
    <t>SS</t>
  </si>
  <si>
    <t>Soudan du Sud</t>
  </si>
  <si>
    <t>Sao Tomé-et-Principe</t>
  </si>
  <si>
    <t>Salvador</t>
  </si>
  <si>
    <t>SX</t>
  </si>
  <si>
    <t>Syrie</t>
  </si>
  <si>
    <t>Swaziland</t>
  </si>
  <si>
    <t>Îles Turques-et-Caïques</t>
  </si>
  <si>
    <t>Tchad</t>
  </si>
  <si>
    <t>Terres australes et antarctiques françaises</t>
  </si>
  <si>
    <t>Togo</t>
  </si>
  <si>
    <t>Thaïlande</t>
  </si>
  <si>
    <t>Tadjikistan</t>
  </si>
  <si>
    <t>Tokelau</t>
  </si>
  <si>
    <t>Timor oriental</t>
  </si>
  <si>
    <t>Turkménistan</t>
  </si>
  <si>
    <t>Tunisie</t>
  </si>
  <si>
    <t>Tonga</t>
  </si>
  <si>
    <t>Turquie</t>
  </si>
  <si>
    <t>Trinité-et-Tobago</t>
  </si>
  <si>
    <t>Tuvalu</t>
  </si>
  <si>
    <t>Taïwan / (République de Chine (Taïwan))</t>
  </si>
  <si>
    <t>Tanzanie</t>
  </si>
  <si>
    <t>Ukraine</t>
  </si>
  <si>
    <t>Ouganda</t>
  </si>
  <si>
    <t>UM</t>
  </si>
  <si>
    <t>Îles mineures éloignées des États-Unis</t>
  </si>
  <si>
    <t>États-Unis</t>
  </si>
  <si>
    <t>Uruguay</t>
  </si>
  <si>
    <t>Ouzbékistan</t>
  </si>
  <si>
    <t>Saint-Siège (État de la Cité du Vatican)</t>
  </si>
  <si>
    <t>Saint-Vincent-et-les Grenadines</t>
  </si>
  <si>
    <t>Venezuela</t>
  </si>
  <si>
    <t>Îles Vierges britanniques</t>
  </si>
  <si>
    <t>Îles Vierges des États-Unis</t>
  </si>
  <si>
    <t>Viêt Nam</t>
  </si>
  <si>
    <t>Vanuatu</t>
  </si>
  <si>
    <t>Wallis-et-Futuna</t>
  </si>
  <si>
    <t>Samoa</t>
  </si>
  <si>
    <t>XK</t>
  </si>
  <si>
    <t>Kosovo</t>
  </si>
  <si>
    <t>Yémen</t>
  </si>
  <si>
    <t>Mayotte</t>
  </si>
  <si>
    <t>Afrique du Sud</t>
  </si>
  <si>
    <t>Zambie</t>
  </si>
  <si>
    <t>Zimbabwe</t>
  </si>
  <si>
    <t>Unité</t>
  </si>
  <si>
    <t>Dpt</t>
  </si>
  <si>
    <t>A</t>
  </si>
  <si>
    <t>B</t>
  </si>
  <si>
    <t>C</t>
  </si>
  <si>
    <t>D</t>
  </si>
  <si>
    <t>Pays ratt :</t>
  </si>
  <si>
    <t>4 - Indemnité de Sujétion prévisionnelle calculée</t>
  </si>
  <si>
    <t>Perdiem moyen congés déduites</t>
  </si>
  <si>
    <t>Act/projet</t>
  </si>
  <si>
    <t>Visa du missionnaire :</t>
  </si>
  <si>
    <t>Type contrat :</t>
  </si>
  <si>
    <t>Type</t>
  </si>
  <si>
    <t>Contrat :</t>
  </si>
  <si>
    <t>NdJ Missions</t>
  </si>
  <si>
    <t>Pour vérif du report des congés</t>
  </si>
  <si>
    <t xml:space="preserve">Total montants perçus : </t>
  </si>
  <si>
    <t>Commentaire G2M :</t>
  </si>
  <si>
    <t>Pays principal de mission</t>
  </si>
  <si>
    <t>Pays principal</t>
  </si>
  <si>
    <t>Pour pays principal :</t>
  </si>
  <si>
    <t>Total des frais engagés par le missionnaire (€)</t>
  </si>
  <si>
    <t>Total des frais budgétés (€)</t>
  </si>
  <si>
    <t>(*) Une assurance obligatoire à charge du salarié doit être souscrite pour "déplacements professionnels"</t>
  </si>
  <si>
    <t>Siège Social : 42 rue Scheffer, 75116 Paris, France          Tél : +33 (0)1 53 70 20 00                SIRET 331 596 270 0040</t>
  </si>
  <si>
    <t>Conseils voyages :</t>
  </si>
  <si>
    <t>FRANCE MÉTROPOLITAINE</t>
  </si>
  <si>
    <t>Sites de rattachement</t>
  </si>
  <si>
    <t>Visa dématérialisé du service G2M</t>
  </si>
  <si>
    <t>Date de réception de la demande conforme :</t>
  </si>
  <si>
    <t>Si la mission est tout ou partie facturable, préciser à qui :</t>
  </si>
  <si>
    <t>Si vous percevez des vacations ou honoraires, préciser le montant (€):</t>
  </si>
  <si>
    <t>Si vous percevez des perdiem, préciser le montant (€) :</t>
  </si>
  <si>
    <t>Indemnités Kilométriques (en cas d'utilisation du véhicule personnel)</t>
  </si>
  <si>
    <t>https://intranet-dcaf.cirad.fr/les-formulaires</t>
  </si>
  <si>
    <t xml:space="preserve">Les améliorations ci-dessous reposent sur de nombreuses formules de calcul liées à des tables de paramètres régulièrement mises à jour </t>
  </si>
  <si>
    <t>(forfaits, plafonds, coefficients d'éloignement, indemnités kilométriques, …).</t>
  </si>
  <si>
    <r>
      <rPr>
        <sz val="14"/>
        <rFont val="Calibri"/>
        <family val="2"/>
        <scheme val="minor"/>
      </rPr>
      <t xml:space="preserve">2 </t>
    </r>
    <r>
      <rPr>
        <b/>
        <sz val="14"/>
        <rFont val="Calibri"/>
        <family val="2"/>
        <scheme val="minor"/>
      </rPr>
      <t>-</t>
    </r>
    <r>
      <rPr>
        <sz val="14"/>
        <rFont val="Calibri"/>
        <family val="2"/>
        <scheme val="minor"/>
      </rPr>
      <t xml:space="preserve"> L'ODM</t>
    </r>
    <r>
      <rPr>
        <sz val="14"/>
        <color theme="1"/>
        <rFont val="Calibri"/>
        <family val="2"/>
        <scheme val="minor"/>
      </rPr>
      <t xml:space="preserve"> et la NDF sont </t>
    </r>
    <r>
      <rPr>
        <u/>
        <sz val="14"/>
        <rFont val="Calibri"/>
        <family val="2"/>
        <scheme val="minor"/>
      </rPr>
      <t>toujours</t>
    </r>
    <r>
      <rPr>
        <sz val="14"/>
        <color theme="1"/>
        <rFont val="Calibri"/>
        <family val="2"/>
        <scheme val="minor"/>
      </rPr>
      <t xml:space="preserve"> liés : toute saisie dans l'ODM utile pour la liquidation est automatiquement reportée dans la NDF</t>
    </r>
  </si>
  <si>
    <t>Ces éléments reportés peuvent bien sûr être corrigés dans la NDF au moment de la liquidation</t>
  </si>
  <si>
    <r>
      <t>3 - Une nouvelle notion, le pays principal de la mission, se rempl</t>
    </r>
    <r>
      <rPr>
        <sz val="14"/>
        <rFont val="Calibri"/>
        <family val="2"/>
        <scheme val="minor"/>
      </rPr>
      <t>it</t>
    </r>
    <r>
      <rPr>
        <sz val="14"/>
        <color theme="1"/>
        <rFont val="Calibri"/>
        <family val="2"/>
        <scheme val="minor"/>
      </rPr>
      <t xml:space="preserve"> en automatique selon le plus grand nombre de jours calculé dans l'itinéraire. Il reste cependant modifiable</t>
    </r>
  </si>
  <si>
    <t>5 - Le calcul de l'IS se fait en automatique.</t>
  </si>
  <si>
    <t xml:space="preserve">Pour que les calculs automatiques fonctionnent, il faut renseigner tous les pays et toutes les dates de l'itinéraire de la mission </t>
  </si>
  <si>
    <t>Transmission au G2M :</t>
  </si>
  <si>
    <r>
      <t xml:space="preserve">9 - Transmettre tous les documents par mail à l'adresse générique : </t>
    </r>
    <r>
      <rPr>
        <b/>
        <sz val="14"/>
        <color theme="1"/>
        <rFont val="Calibri"/>
        <family val="2"/>
        <scheme val="minor"/>
      </rPr>
      <t>g2m-missions@cirad.fr</t>
    </r>
  </si>
  <si>
    <t>DELCOM - Actualités et réseaux sociaux</t>
  </si>
  <si>
    <t>DELCOM - Evénementiel</t>
  </si>
  <si>
    <t>DELCOM - Communication interne et appui aux équipes</t>
  </si>
  <si>
    <t>D96305</t>
  </si>
  <si>
    <t>DELCOM - Relations médias</t>
  </si>
  <si>
    <t>D96306</t>
  </si>
  <si>
    <t>DELCOM - Grands projets</t>
  </si>
  <si>
    <t>DGD-RS - Del Qualité &amp; Infrastructures (QIR)</t>
  </si>
  <si>
    <t>D96105</t>
  </si>
  <si>
    <t>DGD-RS - Enseignement Sup. &amp; Formation</t>
  </si>
  <si>
    <t>D96106</t>
  </si>
  <si>
    <t>GEOP - Management - Animation</t>
  </si>
  <si>
    <t>D96107</t>
  </si>
  <si>
    <t>GEOP - DR MEDITERRANEE</t>
  </si>
  <si>
    <t>D96108</t>
  </si>
  <si>
    <t>GEOP - DR AFR OUEST ZS</t>
  </si>
  <si>
    <t>D96109</t>
  </si>
  <si>
    <t>GEOP - DR A CENTRALE</t>
  </si>
  <si>
    <t>D96110</t>
  </si>
  <si>
    <t>GEOP - DR AFR OUEST FSH</t>
  </si>
  <si>
    <t>D96111</t>
  </si>
  <si>
    <t>GEOP - DR AFR AUSTR &amp; MADA</t>
  </si>
  <si>
    <t>D96112</t>
  </si>
  <si>
    <t>GEOP - DR ASIE INSULAIRE</t>
  </si>
  <si>
    <t>D96113</t>
  </si>
  <si>
    <t>GEOP - DR ASIE CONTINENTALE</t>
  </si>
  <si>
    <t>D96114</t>
  </si>
  <si>
    <t>GEOP - DR BRESIL</t>
  </si>
  <si>
    <t>D96115</t>
  </si>
  <si>
    <t>GEOP - DR AFR ORIENTALE - KENYA</t>
  </si>
  <si>
    <t>D96116</t>
  </si>
  <si>
    <t>GEOP - Délégation DP</t>
  </si>
  <si>
    <t>D96117</t>
  </si>
  <si>
    <t>GEOP - Délégation Europe</t>
  </si>
  <si>
    <t>D96200</t>
  </si>
  <si>
    <t>DIMS - Management - Animation</t>
  </si>
  <si>
    <t>D96201</t>
  </si>
  <si>
    <t>DIMS - Impact Bailleurs</t>
  </si>
  <si>
    <t>D96202</t>
  </si>
  <si>
    <t>DIMS - Valorisation</t>
  </si>
  <si>
    <t>D96203</t>
  </si>
  <si>
    <t>DIMS - Projets</t>
  </si>
  <si>
    <t xml:space="preserve">DRMO </t>
  </si>
  <si>
    <t>DRRM - Management - Animation</t>
  </si>
  <si>
    <t>D94501</t>
  </si>
  <si>
    <t>DRRM - DR Réunion</t>
  </si>
  <si>
    <t>D94502</t>
  </si>
  <si>
    <t>DRRM - DR Mayotte</t>
  </si>
  <si>
    <t xml:space="preserve">INTERTRYP </t>
  </si>
  <si>
    <t xml:space="preserve">AMAP </t>
  </si>
  <si>
    <t>PVBMT</t>
  </si>
  <si>
    <t>CBGP</t>
  </si>
  <si>
    <t>DIADE</t>
  </si>
  <si>
    <t>AGAP - Management - Animation</t>
  </si>
  <si>
    <t>AGAP - AFEF</t>
  </si>
  <si>
    <t>AGAP - DAAV</t>
  </si>
  <si>
    <t>AGAP - DDSE</t>
  </si>
  <si>
    <t>AGAP - GIV</t>
  </si>
  <si>
    <t>AGAP - GE²pop</t>
  </si>
  <si>
    <t>AGAP - SEG</t>
  </si>
  <si>
    <t>AGAP - GABA</t>
  </si>
  <si>
    <t>AGAP - SEAPAG</t>
  </si>
  <si>
    <t>A10821</t>
  </si>
  <si>
    <t>AGAP - PhenoMEn</t>
  </si>
  <si>
    <t>ASTRE</t>
  </si>
  <si>
    <t>GECO</t>
  </si>
  <si>
    <t>Analyses</t>
  </si>
  <si>
    <t>Recyclage et risque</t>
  </si>
  <si>
    <t xml:space="preserve">HORTSYS </t>
  </si>
  <si>
    <t xml:space="preserve">ECO&amp;SOLS </t>
  </si>
  <si>
    <t>BioWooEB</t>
  </si>
  <si>
    <t>AIDA - Management - Animation</t>
  </si>
  <si>
    <t>B11506</t>
  </si>
  <si>
    <t>AIDA - Prose</t>
  </si>
  <si>
    <t>B11507</t>
  </si>
  <si>
    <t>B11508</t>
  </si>
  <si>
    <t xml:space="preserve">ISEM </t>
  </si>
  <si>
    <t xml:space="preserve">CIRED </t>
  </si>
  <si>
    <t>INNOVATION</t>
  </si>
  <si>
    <t xml:space="preserve">G-EAU </t>
  </si>
  <si>
    <t xml:space="preserve">TETIS </t>
  </si>
  <si>
    <t xml:space="preserve">Ecofog </t>
  </si>
  <si>
    <t xml:space="preserve">MOISA </t>
  </si>
  <si>
    <t xml:space="preserve">FORÊTS ET SOCIETES </t>
  </si>
  <si>
    <t>SELMET</t>
  </si>
  <si>
    <t>ART-DEV</t>
  </si>
  <si>
    <t>A.H. :</t>
  </si>
  <si>
    <t>Congés NDF</t>
  </si>
  <si>
    <t>Projet/Act</t>
  </si>
  <si>
    <t>Ces onglets techniques se documentent automatiquement à partir des informations saisies dans les autres onglets</t>
  </si>
  <si>
    <t>Après validation du G2M, ils sont interfacés pour intégration dans le logiciel QUALIAC et comptabilisation instantanée des frais</t>
  </si>
  <si>
    <t>les activités:</t>
  </si>
  <si>
    <t>leurs codes commencent par un A sur 10 caractères maximum</t>
  </si>
  <si>
    <t>les prospects:</t>
  </si>
  <si>
    <t>les conventions</t>
  </si>
  <si>
    <t>leurs codes commencent par un P sur 10 caractères maximum</t>
  </si>
  <si>
    <t>leurs codes commencent par un C sur 10 caractères maximum</t>
  </si>
  <si>
    <t>N°d'ODM</t>
  </si>
  <si>
    <t xml:space="preserve">ainsi que les informations concernant le salarié : contrat de travail, pays d'affectation et pays de rattachement. </t>
  </si>
  <si>
    <t>N° d'ODM :</t>
  </si>
  <si>
    <t xml:space="preserve">Important : afin de permettre un dispatching automatique vers votre gestionnaire G2M, préciser le N° d'ODM au format AGORA dans l'objet du mail </t>
  </si>
  <si>
    <r>
      <t xml:space="preserve">Le N° d'ODM au format AGORA est </t>
    </r>
    <r>
      <rPr>
        <u/>
        <sz val="14"/>
        <color rgb="FFFF0000"/>
        <rFont val="Calibri"/>
        <family val="2"/>
        <scheme val="minor"/>
      </rPr>
      <t>l'élément indispensable</t>
    </r>
    <r>
      <rPr>
        <sz val="14"/>
        <color rgb="FFFF0000"/>
        <rFont val="Calibri"/>
        <family val="2"/>
        <scheme val="minor"/>
      </rPr>
      <t xml:space="preserve">. Les autres mentions sont conseillées pour améliorer la lisibilité et la recherche des mails </t>
    </r>
    <r>
      <rPr>
        <u/>
        <sz val="11"/>
        <color theme="1"/>
        <rFont val="Calibri"/>
        <family val="2"/>
        <scheme val="minor"/>
      </rPr>
      <t/>
    </r>
  </si>
  <si>
    <t>Pays visité n°1</t>
  </si>
  <si>
    <t>Pays visité n°2</t>
  </si>
  <si>
    <t>Pays visité n°3</t>
  </si>
  <si>
    <t>Pays visité n°4</t>
  </si>
  <si>
    <t>Pays visité n°5</t>
  </si>
  <si>
    <t>Pays visité n°6</t>
  </si>
  <si>
    <t xml:space="preserve">Avance à déduire : </t>
  </si>
  <si>
    <r>
      <t xml:space="preserve">Structure et Géographique sont remplis en automatique (mais </t>
    </r>
    <r>
      <rPr>
        <sz val="14"/>
        <rFont val="Calibri"/>
        <family val="2"/>
        <scheme val="minor"/>
      </rPr>
      <t>modifiables</t>
    </r>
    <r>
      <rPr>
        <sz val="14"/>
        <color theme="1"/>
        <rFont val="Calibri"/>
        <family val="2"/>
        <scheme val="minor"/>
      </rPr>
      <t xml:space="preserve">) selon votre saisie </t>
    </r>
  </si>
  <si>
    <t>Projet/activité est à saisir sous la forme :</t>
  </si>
  <si>
    <t xml:space="preserve">Net à rembourser : </t>
  </si>
  <si>
    <t>Gd. Projet (2c)</t>
  </si>
  <si>
    <t>Recommandations</t>
  </si>
  <si>
    <r>
      <rPr>
        <sz val="14"/>
        <rFont val="Calibri"/>
        <family val="2"/>
        <scheme val="minor"/>
      </rPr>
      <t xml:space="preserve">4 </t>
    </r>
    <r>
      <rPr>
        <b/>
        <sz val="14"/>
        <rFont val="Calibri"/>
        <family val="2"/>
        <scheme val="minor"/>
      </rPr>
      <t xml:space="preserve">- </t>
    </r>
    <r>
      <rPr>
        <sz val="14"/>
        <rFont val="Calibri"/>
        <family val="2"/>
        <scheme val="minor"/>
      </rPr>
      <t>R</t>
    </r>
    <r>
      <rPr>
        <sz val="14"/>
        <color theme="1"/>
        <rFont val="Calibri"/>
        <family val="2"/>
        <scheme val="minor"/>
      </rPr>
      <t xml:space="preserve">enseigner dans l'ODM toutes les cellules </t>
    </r>
    <r>
      <rPr>
        <sz val="14"/>
        <rFont val="Calibri"/>
        <family val="2"/>
        <scheme val="minor"/>
      </rPr>
      <t>en bleu</t>
    </r>
    <r>
      <rPr>
        <sz val="14"/>
        <color theme="1"/>
        <rFont val="Calibri"/>
        <family val="2"/>
        <scheme val="minor"/>
      </rPr>
      <t xml:space="preserve"> du budget prévisionnel</t>
    </r>
  </si>
  <si>
    <t>AIDA - Estime</t>
  </si>
  <si>
    <t>AIDA - Tapage</t>
  </si>
  <si>
    <t>L'ODM et la NDF sont liés par le N°d'ODM qui se compose :</t>
  </si>
  <si>
    <t>- du code UR/service</t>
  </si>
  <si>
    <t>- du millésime, déduit de la date de départ en mission</t>
  </si>
  <si>
    <t>- du n°d'ordre ou chrono, compris entre 1 et 999 sur 3 caractères maximum</t>
  </si>
  <si>
    <t>- du code "Gd Projet", facultatif sur 2 caractères, pour les missions concernant des Grands Projets</t>
  </si>
  <si>
    <t>en précisant son numéro de matricule et le numéro de l'ODM</t>
  </si>
  <si>
    <t>Comment solder un trop perçu d'avance auprès de Compta Missions Paris :</t>
  </si>
  <si>
    <t>Pour la fluidité du traitement des documents :</t>
  </si>
  <si>
    <t>7 - Pour traiter l'ODM, le G2M a besoin :</t>
  </si>
  <si>
    <t xml:space="preserve">8 - Pour traiter la NDF, le G2M a besoin : </t>
  </si>
  <si>
    <r>
      <t xml:space="preserve">en respectant : N°ODM - NOM Prénom du missionnaire - Pays principal de la mission  (exemple: </t>
    </r>
    <r>
      <rPr>
        <b/>
        <sz val="14"/>
        <color rgb="FFFF0000"/>
        <rFont val="Calibri"/>
        <family val="2"/>
        <scheme val="minor"/>
      </rPr>
      <t>C11200-20-005</t>
    </r>
    <r>
      <rPr>
        <sz val="14"/>
        <color rgb="FFFF0000"/>
        <rFont val="Calibri"/>
        <family val="2"/>
        <scheme val="minor"/>
      </rPr>
      <t xml:space="preserve"> - DURAND Cedric  - Brésil).</t>
    </r>
  </si>
  <si>
    <t>- par virement en utilisant le RIB ci-dessous</t>
  </si>
  <si>
    <t>CDD</t>
  </si>
  <si>
    <t xml:space="preserve">CDI </t>
  </si>
  <si>
    <t>Apprenti</t>
  </si>
  <si>
    <t>B0118</t>
  </si>
  <si>
    <t>C0119</t>
  </si>
  <si>
    <t>UMR SENS</t>
  </si>
  <si>
    <t>A0120</t>
  </si>
  <si>
    <t>UMR PHIM</t>
  </si>
  <si>
    <t>A12000</t>
  </si>
  <si>
    <t>PHIM - Management - Animation</t>
  </si>
  <si>
    <t>A12001</t>
  </si>
  <si>
    <t>PHIM - ITEM</t>
  </si>
  <si>
    <t>A12002</t>
  </si>
  <si>
    <t>A12003</t>
  </si>
  <si>
    <t>A12004</t>
  </si>
  <si>
    <t>PHIM - PHYTOBIOM</t>
  </si>
  <si>
    <t>PHIM - PRISM</t>
  </si>
  <si>
    <t>PHIM - VIROM</t>
  </si>
  <si>
    <t>QUALISUD - Management - Animation</t>
  </si>
  <si>
    <t>B09501</t>
  </si>
  <si>
    <t>B09502</t>
  </si>
  <si>
    <t>B09503</t>
  </si>
  <si>
    <t>QUALISUD - Fonctionnalités sensorielles des aliments</t>
  </si>
  <si>
    <t>QUALISUD - Communautés microbiennes et sûreté des aliments</t>
  </si>
  <si>
    <t>QUALISUD - Ingénierie des produits et procédés durables</t>
  </si>
  <si>
    <t>AGAP - DARS</t>
  </si>
  <si>
    <t>AGAP - GSP</t>
  </si>
  <si>
    <t>A10822</t>
  </si>
  <si>
    <t>AGAP - DEFI</t>
  </si>
  <si>
    <t>B11800</t>
  </si>
  <si>
    <t>C11900</t>
  </si>
  <si>
    <t>SENS</t>
  </si>
  <si>
    <t>UMR ABSys</t>
  </si>
  <si>
    <t>ABSys</t>
  </si>
  <si>
    <t>D96118</t>
  </si>
  <si>
    <t>GEOP - DR AM CENTRALE - PAYS ANDINS</t>
  </si>
  <si>
    <t>Le formulaire DCAF est désormais doté de deux onglets techniques AgoraODM et AgoraNDF inaccessibles à la saisie.</t>
  </si>
  <si>
    <t>Ces onglets techniques sont sujets à modifications tout au long de l'année en fonction des correctifs qui seront apportés au logiciel QUALIAC.</t>
  </si>
  <si>
    <t>C'est pourquoi il est indispensable de toujours repartir de la version vierge des formulaires Excel qui sont à votre disposition sur l'Intranet DCAF</t>
  </si>
  <si>
    <t>A10823</t>
  </si>
  <si>
    <t>AGAP - OCR</t>
  </si>
  <si>
    <t>D98504</t>
  </si>
  <si>
    <t>PDG - DAffaires publiques</t>
  </si>
  <si>
    <t>ASSISTANCE International SOS 
N° contrat : 15AGDA924869 - Tél : +33 01 55 63 31 55</t>
  </si>
  <si>
    <t>pour date début contrat &gt;= 01/09/2021</t>
  </si>
  <si>
    <t>Type RH</t>
  </si>
  <si>
    <t>CDD (sauf doctorant et post doc)</t>
  </si>
  <si>
    <t>Doctorant Cirad</t>
  </si>
  <si>
    <t>Volontaires en entreprise</t>
  </si>
  <si>
    <t>Détaché externe Cirad</t>
  </si>
  <si>
    <t>PDOC</t>
  </si>
  <si>
    <t>Post doc</t>
  </si>
  <si>
    <t>oesae.e10oesae</t>
  </si>
  <si>
    <t>Type de personne</t>
  </si>
  <si>
    <t>Coef d'IS (= Coef d'éloignement, sauf Europe=0 )
Ratt : Mayotte</t>
  </si>
  <si>
    <t>AGAP - BISSAPP</t>
  </si>
  <si>
    <t>- des documents ODM et NDF en version pdf avec toutes les signatures apposées (salarié et responsable hiérarchique)</t>
  </si>
  <si>
    <t>- tous les justificatifs scannés, lisibles et numérotés, y compris les titres de transport aller/retour, le tout en version pdf.</t>
  </si>
  <si>
    <t>- du formulaire ODM/NDF en version Excel (le même qui a servi à établir l'ODM) L'onglet "NDF" doit être dument complété.</t>
  </si>
  <si>
    <t>- du formulaire ODM/NDF en version Excel et en version pdf avec toutes les signatures apposées (salarié et responsable hiérarchique)</t>
  </si>
  <si>
    <t>- L'onglet "ODM" doit être dument complété : structure, projet/activité, géographie, n°d'ordre…</t>
  </si>
  <si>
    <t>En cas de trop perçu (avance supérieure aux frais engagés), le salarié droit adresser son remboursement :</t>
  </si>
  <si>
    <t>1 - Bien renseigner les 3 axes : Structure (UR/Sce), Projet/Activité et Géographique (pays de la mission)</t>
  </si>
  <si>
    <r>
      <t>•</t>
    </r>
    <r>
      <rPr>
        <sz val="8.5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N° de l'équipe de conseillers Havas voyages : +33 04.99.51.58.14 - pluton@havasvoyages.fr
• Horaires d'ouverture : du lundi au vendredi de 9h00 à 18h00 sans interruption.
• N° du service d'urgence H24 en cas d'incident en dehors des heures d'ouverture de l'agence de voyage : Tel : +33 09.78.97.90.41 - (non surtaxé pour lappelant) et la prestation d'assistance est facturée au Cirad 35 euros par appel.</t>
    </r>
  </si>
  <si>
    <t>SAINT-MARTIN</t>
  </si>
  <si>
    <t>D96307</t>
  </si>
  <si>
    <t>DELCOM - Création graphique</t>
  </si>
  <si>
    <t>24/01/2024</t>
  </si>
  <si>
    <t>A10821-AGAP - PhenoMEn</t>
  </si>
  <si>
    <t>BRAUD</t>
  </si>
  <si>
    <t>Oriane</t>
  </si>
  <si>
    <t>C19966L01</t>
  </si>
  <si>
    <t>Rencontre de collaborateurs dans le projet IntercropValuES</t>
  </si>
  <si>
    <t>Wageningen</t>
  </si>
  <si>
    <t>Montpellier</t>
  </si>
  <si>
    <t>Paris</t>
  </si>
  <si>
    <t>Hébergement à Wageningen</t>
  </si>
  <si>
    <t>Intercité + bus entre Amsterdam et Wageningen</t>
  </si>
  <si>
    <t>Restauration à Wageningen</t>
  </si>
  <si>
    <t>Pradal</t>
  </si>
  <si>
    <t>Restauration lundi 26/02 midi</t>
  </si>
  <si>
    <t>Restauration lundi 26/02 soir</t>
  </si>
  <si>
    <t>Restauration mardi 27/02 midi</t>
  </si>
  <si>
    <t>Restauration mardi 27/02 soir</t>
  </si>
  <si>
    <t>Restauration mercredi 28/02 midi</t>
  </si>
  <si>
    <t>Restauration mercredi 28/02 soir</t>
  </si>
  <si>
    <t>Restauration jeudi 29/02 midi</t>
  </si>
  <si>
    <t>Restauration jeudi 29/02 soir</t>
  </si>
  <si>
    <t>1</t>
  </si>
  <si>
    <t>2</t>
  </si>
  <si>
    <t>3</t>
  </si>
  <si>
    <t>4</t>
  </si>
  <si>
    <t>5</t>
  </si>
  <si>
    <t>6</t>
  </si>
  <si>
    <t>7</t>
  </si>
  <si>
    <t>Taxe de séjour</t>
  </si>
  <si>
    <t>8</t>
  </si>
  <si>
    <t>9</t>
  </si>
  <si>
    <t>Intercity Amsterdam Centraal -- Ede-Wageningen station</t>
  </si>
  <si>
    <t>Intercity Ede-Wageningen station -- Amsterdam Centraal</t>
  </si>
  <si>
    <t>Bus Ede-Wageningen station -- Wageningen</t>
  </si>
  <si>
    <t>Bus Wageningen -- Ede-Wageningen station</t>
  </si>
  <si>
    <t>10 (billet électronique)</t>
  </si>
  <si>
    <t>11 (relevé de compte)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</si>
</sst>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8" formatCode="#,##0.00\ &quot;€&quot;;[Red]\-#,##0.00\ &quot;€&quot;"/>
    <numFmt numFmtId="43" formatCode="_-* #,##0.00\ _€_-;\-* #,##0.00\ _€_-;_-* &quot;-&quot;??\ _€_-;_-@_-"/>
    <numFmt numFmtId="164" formatCode="#,##0\ _€"/>
    <numFmt numFmtId="165" formatCode="h:mm;@"/>
    <numFmt numFmtId="166" formatCode="#,##0.00\ &quot;€&quot;"/>
    <numFmt numFmtId="167" formatCode="dd/mm/yy;@"/>
    <numFmt numFmtId="168" formatCode="0.0"/>
    <numFmt numFmtId="169" formatCode="#,##0.00_ ;[Red]\-#,##0.00\ "/>
    <numFmt numFmtId="170" formatCode="#,##0.000"/>
    <numFmt numFmtId="171" formatCode="#,##0.0000"/>
    <numFmt numFmtId="172" formatCode="0.0000"/>
    <numFmt numFmtId="173" formatCode="[$-40C]ddd\ d\ mm\ yy"/>
    <numFmt numFmtId="174" formatCode="_-* #,##0\ _€_-;\-* #,##0\ _€_-;_-* &quot;-&quot;??\ _€_-;_-@_-"/>
    <numFmt numFmtId="175" formatCode="[$-40C]mmm;@"/>
    <numFmt numFmtId="176" formatCode="000"/>
  </numFmts>
  <fonts count="7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4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7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0"/>
      <color rgb="FF1FA22E"/>
      <name val="Calibri"/>
      <family val="2"/>
      <scheme val="minor"/>
    </font>
    <font>
      <sz val="8.8000000000000007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8.6999999999999993"/>
      <color theme="1"/>
      <name val="Calibri"/>
      <family val="2"/>
      <scheme val="minor"/>
    </font>
    <font>
      <b/>
      <sz val="11"/>
      <color rgb="FF1FA22E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color rgb="FF1FA22E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.5"/>
      <color theme="1"/>
      <name val="Calibri"/>
      <family val="2"/>
      <scheme val="minor"/>
    </font>
    <font>
      <sz val="9"/>
      <color rgb="FF1FA22E"/>
      <name val="Calibri"/>
      <family val="2"/>
      <scheme val="minor"/>
    </font>
    <font>
      <u/>
      <sz val="14"/>
      <color rgb="FF1FA22E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Arial"/>
      <family val="2"/>
    </font>
    <font>
      <u/>
      <sz val="14"/>
      <color theme="10"/>
      <name val="Calibri"/>
      <family val="2"/>
      <scheme val="minor"/>
    </font>
    <font>
      <sz val="10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Arial"/>
      <family val="2"/>
    </font>
    <font>
      <b/>
      <sz val="10"/>
      <color theme="0"/>
      <name val="Calibri"/>
      <family val="2"/>
      <scheme val="minor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4"/>
      <name val="Calibri"/>
      <family val="2"/>
      <scheme val="minor"/>
    </font>
    <font>
      <u/>
      <sz val="14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u/>
      <sz val="14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Arial"/>
      <family val="2"/>
    </font>
    <font>
      <b/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A22E"/>
        <bgColor indexed="64"/>
      </patternFill>
    </fill>
    <fill>
      <patternFill patternType="lightGray">
        <fgColor rgb="FFCBF5D0"/>
        <bgColor auto="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</fills>
  <borders count="1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/>
      <bottom style="dotted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theme="0" tint="-0.24994659260841701"/>
      </bottom>
      <diagonal/>
    </border>
    <border>
      <left style="thin">
        <color indexed="64"/>
      </left>
      <right style="thin">
        <color indexed="64"/>
      </right>
      <top style="dotted">
        <color theme="0" tint="-0.24994659260841701"/>
      </top>
      <bottom style="dotted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 style="dotted">
        <color theme="0" tint="-0.24994659260841701"/>
      </bottom>
      <diagonal/>
    </border>
    <border>
      <left style="thin">
        <color indexed="64"/>
      </left>
      <right/>
      <top style="dotted">
        <color theme="0" tint="-0.24994659260841701"/>
      </top>
      <bottom style="thin">
        <color indexed="64"/>
      </bottom>
      <diagonal/>
    </border>
    <border>
      <left/>
      <right style="thin">
        <color indexed="64"/>
      </right>
      <top style="dotted">
        <color theme="0" tint="-0.24994659260841701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dotted">
        <color theme="0" tint="-0.14996795556505021"/>
      </bottom>
      <diagonal/>
    </border>
    <border>
      <left/>
      <right/>
      <top style="thin">
        <color indexed="64"/>
      </top>
      <bottom style="dotted">
        <color theme="0" tint="-0.14996795556505021"/>
      </bottom>
      <diagonal/>
    </border>
    <border>
      <left/>
      <right style="thin">
        <color auto="1"/>
      </right>
      <top style="thin">
        <color indexed="64"/>
      </top>
      <bottom style="dotted">
        <color theme="0" tint="-0.14996795556505021"/>
      </bottom>
      <diagonal/>
    </border>
    <border>
      <left style="thin">
        <color auto="1"/>
      </left>
      <right/>
      <top style="dotted">
        <color theme="0" tint="-0.14996795556505021"/>
      </top>
      <bottom style="dotted">
        <color theme="0" tint="-0.14996795556505021"/>
      </bottom>
      <diagonal/>
    </border>
    <border>
      <left/>
      <right/>
      <top style="dotted">
        <color theme="0" tint="-0.14996795556505021"/>
      </top>
      <bottom style="dotted">
        <color theme="0" tint="-0.14996795556505021"/>
      </bottom>
      <diagonal/>
    </border>
    <border>
      <left/>
      <right style="thin">
        <color auto="1"/>
      </right>
      <top style="dotted">
        <color theme="0" tint="-0.14996795556505021"/>
      </top>
      <bottom style="dotted">
        <color theme="0" tint="-0.14996795556505021"/>
      </bottom>
      <diagonal/>
    </border>
    <border>
      <left style="thin">
        <color auto="1"/>
      </left>
      <right/>
      <top style="dotted">
        <color theme="0" tint="-0.14996795556505021"/>
      </top>
      <bottom style="thin">
        <color auto="1"/>
      </bottom>
      <diagonal/>
    </border>
    <border>
      <left/>
      <right/>
      <top style="dotted">
        <color theme="0" tint="-0.14996795556505021"/>
      </top>
      <bottom style="thin">
        <color auto="1"/>
      </bottom>
      <diagonal/>
    </border>
    <border>
      <left/>
      <right style="thin">
        <color auto="1"/>
      </right>
      <top style="dotted">
        <color theme="0" tint="-0.1499679555650502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theme="0" tint="-0.14996795556505021"/>
      </bottom>
      <diagonal/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theme="0" tint="-0.24994659260841701"/>
      </bottom>
      <diagonal/>
    </border>
    <border>
      <left style="thin">
        <color indexed="64"/>
      </left>
      <right style="thin">
        <color indexed="64"/>
      </right>
      <top style="dotted">
        <color theme="0" tint="-0.14996795556505021"/>
      </top>
      <bottom style="thin">
        <color auto="1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rgb="FF1FA22E"/>
      </top>
      <bottom style="thin">
        <color rgb="FF1FA22E"/>
      </bottom>
      <diagonal/>
    </border>
    <border>
      <left/>
      <right style="hair">
        <color theme="0"/>
      </right>
      <top/>
      <bottom style="hair">
        <color theme="0"/>
      </bottom>
      <diagonal/>
    </border>
    <border>
      <left style="hair">
        <color theme="0"/>
      </left>
      <right style="hair">
        <color theme="0"/>
      </right>
      <top/>
      <bottom style="hair">
        <color theme="0"/>
      </bottom>
      <diagonal/>
    </border>
    <border>
      <left style="hair">
        <color theme="0"/>
      </left>
      <right style="hair">
        <color theme="0"/>
      </right>
      <top style="thin">
        <color rgb="FF1FA22E"/>
      </top>
      <bottom style="hair">
        <color theme="0"/>
      </bottom>
      <diagonal/>
    </border>
    <border>
      <left style="hair">
        <color theme="0"/>
      </left>
      <right/>
      <top/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 style="hair">
        <color theme="0"/>
      </bottom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/>
      <top style="hair">
        <color theme="0"/>
      </top>
      <bottom/>
      <diagonal/>
    </border>
    <border>
      <left/>
      <right style="hair">
        <color theme="0"/>
      </right>
      <top style="hair">
        <color theme="0"/>
      </top>
      <bottom style="medium">
        <color rgb="FF1FA22E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medium">
        <color rgb="FF1FA22E"/>
      </bottom>
      <diagonal/>
    </border>
    <border>
      <left style="hair">
        <color theme="0"/>
      </left>
      <right/>
      <top style="hair">
        <color theme="0"/>
      </top>
      <bottom style="medium">
        <color rgb="FF1FA22E"/>
      </bottom>
      <diagonal/>
    </border>
    <border>
      <left/>
      <right/>
      <top style="medium">
        <color rgb="FF1FA22E"/>
      </top>
      <bottom/>
      <diagonal/>
    </border>
    <border>
      <left/>
      <right/>
      <top/>
      <bottom style="medium">
        <color rgb="FF1FA22E"/>
      </bottom>
      <diagonal/>
    </border>
    <border>
      <left/>
      <right/>
      <top/>
      <bottom style="hair">
        <color rgb="FF1FA22E"/>
      </bottom>
      <diagonal/>
    </border>
    <border>
      <left/>
      <right style="hair">
        <color theme="0"/>
      </right>
      <top style="hair">
        <color theme="0"/>
      </top>
      <bottom/>
      <diagonal/>
    </border>
    <border>
      <left/>
      <right style="hair">
        <color theme="0"/>
      </right>
      <top/>
      <bottom/>
      <diagonal/>
    </border>
    <border>
      <left style="hair">
        <color theme="0"/>
      </left>
      <right style="hair">
        <color theme="0"/>
      </right>
      <top/>
      <bottom/>
      <diagonal/>
    </border>
    <border>
      <left style="hair">
        <color theme="0"/>
      </left>
      <right/>
      <top/>
      <bottom/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rgb="FF1FA22E"/>
      </top>
      <bottom style="medium">
        <color rgb="FF1FA22E"/>
      </bottom>
      <diagonal/>
    </border>
    <border>
      <left style="thin">
        <color indexed="64"/>
      </left>
      <right style="medium">
        <color theme="0"/>
      </right>
      <top style="thin">
        <color indexed="64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thin">
        <color indexed="64"/>
      </top>
      <bottom style="medium">
        <color theme="0"/>
      </bottom>
      <diagonal/>
    </border>
    <border>
      <left style="medium">
        <color theme="0"/>
      </left>
      <right style="thin">
        <color auto="1"/>
      </right>
      <top style="thin">
        <color indexed="64"/>
      </top>
      <bottom style="medium">
        <color theme="0"/>
      </bottom>
      <diagonal/>
    </border>
    <border>
      <left style="thin">
        <color indexed="64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 style="medium">
        <color theme="0"/>
      </right>
      <top style="medium">
        <color theme="0"/>
      </top>
      <bottom style="thin">
        <color auto="1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thin">
        <color auto="1"/>
      </bottom>
      <diagonal/>
    </border>
    <border>
      <left style="medium">
        <color theme="0"/>
      </left>
      <right style="thin">
        <color auto="1"/>
      </right>
      <top style="medium">
        <color theme="0"/>
      </top>
      <bottom style="thin">
        <color auto="1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medium">
        <color theme="0"/>
      </top>
      <bottom style="thin">
        <color indexed="64"/>
      </bottom>
      <diagonal/>
    </border>
    <border>
      <left/>
      <right/>
      <top style="thin">
        <color indexed="64"/>
      </top>
      <bottom style="medium">
        <color theme="0"/>
      </bottom>
      <diagonal/>
    </border>
    <border>
      <left/>
      <right style="thin">
        <color auto="1"/>
      </right>
      <top style="thin">
        <color indexed="64"/>
      </top>
      <bottom style="medium">
        <color theme="0"/>
      </bottom>
      <diagonal/>
    </border>
    <border>
      <left/>
      <right/>
      <top style="medium">
        <color theme="0"/>
      </top>
      <bottom/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indexed="64"/>
      </left>
      <right style="thin">
        <color indexed="64"/>
      </right>
      <top style="medium">
        <color theme="0"/>
      </top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indexed="64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thin">
        <color auto="1"/>
      </right>
      <top/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dotted">
        <color theme="0" tint="-0.14996795556505021"/>
      </top>
      <bottom style="dotted">
        <color theme="0" tint="-0.14996795556505021"/>
      </bottom>
      <diagonal/>
    </border>
    <border>
      <left style="medium">
        <color theme="0"/>
      </left>
      <right/>
      <top style="thin">
        <color indexed="64"/>
      </top>
      <bottom style="medium">
        <color theme="0"/>
      </bottom>
      <diagonal/>
    </border>
    <border>
      <left/>
      <right style="medium">
        <color theme="0"/>
      </right>
      <top style="thin">
        <color indexed="64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/>
      <top style="thin">
        <color indexed="64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thin">
        <color auto="1"/>
      </bottom>
      <diagonal/>
    </border>
    <border>
      <left/>
      <right style="medium">
        <color theme="0"/>
      </right>
      <top style="medium">
        <color theme="0"/>
      </top>
      <bottom style="thin">
        <color auto="1"/>
      </bottom>
      <diagonal/>
    </border>
    <border>
      <left style="thin">
        <color indexed="64"/>
      </left>
      <right/>
      <top style="medium">
        <color theme="0"/>
      </top>
      <bottom style="thin">
        <color auto="1"/>
      </bottom>
      <diagonal/>
    </border>
    <border>
      <left/>
      <right/>
      <top style="medium">
        <color theme="0"/>
      </top>
      <bottom style="thin">
        <color auto="1"/>
      </bottom>
      <diagonal/>
    </border>
    <border>
      <left style="thin">
        <color indexed="64"/>
      </left>
      <right/>
      <top style="medium">
        <color theme="0"/>
      </top>
      <bottom style="medium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dotted">
        <color theme="0" tint="-0.14996795556505021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 style="thin">
        <color theme="0"/>
      </left>
      <right/>
      <top style="thin">
        <color theme="0"/>
      </top>
      <bottom style="dotted">
        <color theme="0" tint="-0.14996795556505021"/>
      </bottom>
      <diagonal/>
    </border>
    <border>
      <left/>
      <right/>
      <top style="thin">
        <color theme="0"/>
      </top>
      <bottom style="dotted">
        <color theme="0" tint="-0.14996795556505021"/>
      </bottom>
      <diagonal/>
    </border>
    <border>
      <left/>
      <right style="thin">
        <color theme="0"/>
      </right>
      <top style="thin">
        <color theme="0"/>
      </top>
      <bottom style="dotted">
        <color theme="0" tint="-0.14996795556505021"/>
      </bottom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theme="0"/>
      </right>
      <top/>
      <bottom style="medium">
        <color theme="0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</borders>
  <cellStyleXfs count="8">
    <xf numFmtId="0" fontId="0" fillId="0" borderId="0"/>
    <xf numFmtId="0" fontId="6" fillId="0" borderId="0" applyNumberFormat="0" applyFill="0" applyBorder="0" applyAlignment="0" applyProtection="0"/>
    <xf numFmtId="0" fontId="8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57" fillId="0" borderId="0"/>
    <xf numFmtId="0" fontId="58" fillId="0" borderId="0"/>
    <xf numFmtId="43" fontId="64" fillId="0" borderId="0" applyFont="0" applyFill="0" applyBorder="0" applyAlignment="0" applyProtection="0"/>
  </cellStyleXfs>
  <cellXfs count="740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8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0" fillId="0" borderId="0" xfId="0" applyAlignment="1">
      <alignment vertical="center"/>
    </xf>
    <xf numFmtId="0" fontId="18" fillId="5" borderId="0" xfId="0" applyFont="1" applyFill="1" applyAlignment="1">
      <alignment vertical="center"/>
    </xf>
    <xf numFmtId="0" fontId="18" fillId="0" borderId="0" xfId="0" applyFont="1" applyAlignment="1">
      <alignment vertical="top"/>
    </xf>
    <xf numFmtId="14" fontId="0" fillId="0" borderId="0" xfId="0" applyNumberFormat="1" applyAlignment="1">
      <alignment vertical="center"/>
    </xf>
    <xf numFmtId="0" fontId="24" fillId="0" borderId="0" xfId="0" applyFont="1" applyAlignment="1">
      <alignment vertical="center"/>
    </xf>
    <xf numFmtId="14" fontId="0" fillId="0" borderId="0" xfId="0" applyNumberFormat="1" applyAlignment="1">
      <alignment horizontal="left" vertical="center"/>
    </xf>
    <xf numFmtId="0" fontId="43" fillId="0" borderId="0" xfId="0" applyFont="1" applyAlignment="1">
      <alignment horizontal="center" vertical="center"/>
    </xf>
    <xf numFmtId="0" fontId="43" fillId="0" borderId="60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44" fillId="0" borderId="0" xfId="0" applyFont="1" applyAlignment="1">
      <alignment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right" vertical="center"/>
    </xf>
    <xf numFmtId="0" fontId="39" fillId="0" borderId="0" xfId="0" applyFont="1" applyAlignment="1">
      <alignment vertical="center"/>
    </xf>
    <xf numFmtId="0" fontId="6" fillId="0" borderId="0" xfId="1" applyAlignment="1" applyProtection="1">
      <alignment horizontal="left" vertical="center"/>
    </xf>
    <xf numFmtId="0" fontId="25" fillId="0" borderId="0" xfId="0" applyFont="1" applyAlignment="1">
      <alignment vertical="top" wrapText="1"/>
    </xf>
    <xf numFmtId="0" fontId="17" fillId="0" borderId="0" xfId="0" applyFont="1" applyAlignment="1">
      <alignment vertical="top" wrapText="1"/>
    </xf>
    <xf numFmtId="0" fontId="17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47" fillId="0" borderId="0" xfId="1" applyFont="1" applyAlignment="1" applyProtection="1">
      <alignment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vertical="center"/>
    </xf>
    <xf numFmtId="0" fontId="3" fillId="0" borderId="75" xfId="0" applyFont="1" applyBorder="1" applyAlignment="1">
      <alignment vertical="center"/>
    </xf>
    <xf numFmtId="0" fontId="18" fillId="0" borderId="78" xfId="0" applyFont="1" applyBorder="1" applyAlignment="1">
      <alignment vertical="center"/>
    </xf>
    <xf numFmtId="14" fontId="0" fillId="0" borderId="0" xfId="0" applyNumberForma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2" fillId="0" borderId="70" xfId="0" applyFont="1" applyBorder="1" applyAlignment="1">
      <alignment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4" fillId="0" borderId="0" xfId="0" applyFont="1" applyAlignment="1">
      <alignment vertical="center"/>
    </xf>
    <xf numFmtId="0" fontId="31" fillId="2" borderId="0" xfId="0" applyFont="1" applyFill="1" applyAlignment="1">
      <alignment horizontal="center" vertical="center"/>
    </xf>
    <xf numFmtId="0" fontId="31" fillId="5" borderId="0" xfId="0" applyFont="1" applyFill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8" fillId="5" borderId="0" xfId="0" applyFont="1" applyFill="1" applyAlignment="1">
      <alignment horizontal="left" vertical="center"/>
    </xf>
    <xf numFmtId="0" fontId="18" fillId="0" borderId="0" xfId="0" applyFont="1" applyAlignment="1">
      <alignment vertical="center" wrapText="1"/>
    </xf>
    <xf numFmtId="0" fontId="18" fillId="5" borderId="0" xfId="0" applyFont="1" applyFill="1" applyAlignment="1">
      <alignment horizontal="right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34" fillId="0" borderId="0" xfId="0" applyFont="1" applyAlignment="1">
      <alignment vertical="center"/>
    </xf>
    <xf numFmtId="0" fontId="1" fillId="0" borderId="0" xfId="0" applyFont="1"/>
    <xf numFmtId="0" fontId="18" fillId="0" borderId="0" xfId="0" applyFont="1" applyAlignment="1">
      <alignment horizontal="right" vertical="center" wrapText="1"/>
    </xf>
    <xf numFmtId="0" fontId="18" fillId="0" borderId="0" xfId="0" applyFont="1" applyAlignment="1">
      <alignment vertical="top" wrapText="1"/>
    </xf>
    <xf numFmtId="0" fontId="36" fillId="0" borderId="0" xfId="1" applyFont="1" applyAlignment="1" applyProtection="1"/>
    <xf numFmtId="0" fontId="38" fillId="0" borderId="0" xfId="0" applyFont="1" applyAlignment="1">
      <alignment vertical="top" wrapText="1"/>
    </xf>
    <xf numFmtId="0" fontId="38" fillId="0" borderId="0" xfId="0" applyFont="1" applyAlignment="1">
      <alignment horizontal="center" vertical="center"/>
    </xf>
    <xf numFmtId="0" fontId="18" fillId="3" borderId="0" xfId="0" applyFont="1" applyFill="1" applyAlignment="1">
      <alignment vertical="center"/>
    </xf>
    <xf numFmtId="0" fontId="0" fillId="5" borderId="0" xfId="0" applyFill="1" applyAlignment="1">
      <alignment horizontal="right" vertical="center"/>
    </xf>
    <xf numFmtId="0" fontId="11" fillId="5" borderId="0" xfId="0" applyFont="1" applyFill="1" applyAlignment="1">
      <alignment horizontal="left" vertical="center"/>
    </xf>
    <xf numFmtId="0" fontId="18" fillId="5" borderId="0" xfId="0" applyFont="1" applyFill="1" applyAlignment="1">
      <alignment horizontal="left" vertical="center" wrapText="1"/>
    </xf>
    <xf numFmtId="0" fontId="0" fillId="0" borderId="67" xfId="0" applyBorder="1" applyAlignment="1">
      <alignment vertical="center"/>
    </xf>
    <xf numFmtId="0" fontId="13" fillId="0" borderId="67" xfId="0" applyFont="1" applyBorder="1" applyAlignment="1">
      <alignment horizontal="right" vertical="center"/>
    </xf>
    <xf numFmtId="0" fontId="13" fillId="0" borderId="0" xfId="0" applyFont="1" applyAlignment="1">
      <alignment horizontal="right" vertical="center"/>
    </xf>
    <xf numFmtId="0" fontId="15" fillId="0" borderId="0" xfId="0" applyFont="1" applyAlignment="1">
      <alignment horizontal="left" vertical="center"/>
    </xf>
    <xf numFmtId="3" fontId="18" fillId="0" borderId="62" xfId="0" applyNumberFormat="1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5" fillId="5" borderId="0" xfId="0" applyFont="1" applyFill="1" applyAlignment="1">
      <alignment horizontal="right" vertical="center"/>
    </xf>
    <xf numFmtId="3" fontId="25" fillId="5" borderId="0" xfId="0" applyNumberFormat="1" applyFont="1" applyFill="1" applyAlignment="1">
      <alignment horizontal="center" vertical="center"/>
    </xf>
    <xf numFmtId="0" fontId="0" fillId="0" borderId="61" xfId="0" applyBorder="1"/>
    <xf numFmtId="0" fontId="27" fillId="0" borderId="0" xfId="0" applyFont="1" applyAlignment="1">
      <alignment horizontal="center" vertical="center"/>
    </xf>
    <xf numFmtId="0" fontId="25" fillId="0" borderId="0" xfId="0" applyFont="1" applyAlignment="1">
      <alignment horizontal="right" vertical="center"/>
    </xf>
    <xf numFmtId="4" fontId="19" fillId="0" borderId="0" xfId="0" applyNumberFormat="1" applyFont="1" applyAlignment="1">
      <alignment horizontal="center" vertical="center"/>
    </xf>
    <xf numFmtId="4" fontId="19" fillId="0" borderId="0" xfId="0" applyNumberFormat="1" applyFont="1" applyAlignment="1">
      <alignment vertical="center"/>
    </xf>
    <xf numFmtId="0" fontId="25" fillId="5" borderId="0" xfId="0" applyFont="1" applyFill="1" applyAlignment="1">
      <alignment horizontal="left" vertical="center"/>
    </xf>
    <xf numFmtId="164" fontId="25" fillId="0" borderId="0" xfId="0" applyNumberFormat="1" applyFont="1" applyAlignment="1">
      <alignment horizontal="center" vertical="center"/>
    </xf>
    <xf numFmtId="0" fontId="2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0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0" fillId="0" borderId="18" xfId="0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5" fillId="0" borderId="16" xfId="0" applyFont="1" applyBorder="1" applyAlignment="1">
      <alignment horizontal="center" vertical="center" wrapText="1"/>
    </xf>
    <xf numFmtId="22" fontId="0" fillId="0" borderId="17" xfId="0" applyNumberFormat="1" applyBorder="1" applyAlignment="1">
      <alignment vertical="center"/>
    </xf>
    <xf numFmtId="1" fontId="13" fillId="5" borderId="17" xfId="0" applyNumberFormat="1" applyFont="1" applyFill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168" fontId="0" fillId="0" borderId="17" xfId="0" applyNumberFormat="1" applyBorder="1" applyAlignment="1">
      <alignment vertical="center"/>
    </xf>
    <xf numFmtId="22" fontId="18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22" fontId="18" fillId="0" borderId="16" xfId="0" applyNumberFormat="1" applyFont="1" applyBorder="1" applyAlignment="1">
      <alignment vertical="center"/>
    </xf>
    <xf numFmtId="0" fontId="18" fillId="0" borderId="16" xfId="0" applyFont="1" applyBorder="1" applyAlignment="1">
      <alignment vertical="center"/>
    </xf>
    <xf numFmtId="0" fontId="13" fillId="0" borderId="34" xfId="0" applyFont="1" applyBorder="1" applyAlignment="1">
      <alignment horizontal="center" vertical="center"/>
    </xf>
    <xf numFmtId="0" fontId="0" fillId="0" borderId="34" xfId="0" applyBorder="1" applyAlignment="1">
      <alignment vertical="center"/>
    </xf>
    <xf numFmtId="0" fontId="0" fillId="0" borderId="3" xfId="0" applyBorder="1" applyAlignment="1">
      <alignment vertical="center"/>
    </xf>
    <xf numFmtId="22" fontId="11" fillId="0" borderId="0" xfId="0" applyNumberFormat="1" applyFont="1" applyAlignment="1">
      <alignment vertical="center"/>
    </xf>
    <xf numFmtId="0" fontId="11" fillId="0" borderId="0" xfId="0" applyFont="1" applyAlignment="1">
      <alignment horizontal="right" vertical="center"/>
    </xf>
    <xf numFmtId="1" fontId="11" fillId="0" borderId="0" xfId="0" applyNumberFormat="1" applyFont="1" applyAlignment="1">
      <alignment horizontal="left" vertical="center"/>
    </xf>
    <xf numFmtId="169" fontId="0" fillId="0" borderId="0" xfId="0" applyNumberFormat="1" applyAlignment="1">
      <alignment vertical="center"/>
    </xf>
    <xf numFmtId="0" fontId="0" fillId="0" borderId="9" xfId="0" applyBorder="1" applyAlignment="1">
      <alignment vertical="center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6" fillId="0" borderId="3" xfId="0" applyFont="1" applyBorder="1" applyAlignment="1">
      <alignment vertical="center"/>
    </xf>
    <xf numFmtId="0" fontId="16" fillId="0" borderId="9" xfId="0" applyFont="1" applyBorder="1" applyAlignment="1">
      <alignment vertical="center"/>
    </xf>
    <xf numFmtId="0" fontId="12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center" vertical="center"/>
    </xf>
    <xf numFmtId="0" fontId="6" fillId="0" borderId="0" xfId="1" applyAlignment="1" applyProtection="1">
      <alignment vertical="center"/>
    </xf>
    <xf numFmtId="0" fontId="13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167" fontId="0" fillId="0" borderId="0" xfId="0" applyNumberFormat="1" applyAlignment="1">
      <alignment vertical="center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vertical="top"/>
    </xf>
    <xf numFmtId="0" fontId="20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167" fontId="13" fillId="0" borderId="3" xfId="0" applyNumberFormat="1" applyFont="1" applyBorder="1" applyAlignment="1">
      <alignment horizontal="center" vertical="center"/>
    </xf>
    <xf numFmtId="165" fontId="13" fillId="0" borderId="3" xfId="0" applyNumberFormat="1" applyFon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13" fillId="0" borderId="3" xfId="0" applyNumberFormat="1" applyFont="1" applyBorder="1" applyAlignment="1">
      <alignment horizontal="center" vertical="center"/>
    </xf>
    <xf numFmtId="2" fontId="11" fillId="0" borderId="0" xfId="0" applyNumberFormat="1" applyFont="1" applyAlignment="1">
      <alignment vertical="center"/>
    </xf>
    <xf numFmtId="40" fontId="0" fillId="0" borderId="3" xfId="0" applyNumberFormat="1" applyBorder="1" applyAlignment="1">
      <alignment vertical="center"/>
    </xf>
    <xf numFmtId="40" fontId="0" fillId="0" borderId="0" xfId="0" applyNumberFormat="1" applyAlignment="1">
      <alignment vertical="center"/>
    </xf>
    <xf numFmtId="167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40" fontId="0" fillId="0" borderId="3" xfId="0" applyNumberFormat="1" applyBorder="1" applyAlignment="1">
      <alignment horizontal="right" vertical="center"/>
    </xf>
    <xf numFmtId="40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 wrapText="1"/>
    </xf>
    <xf numFmtId="1" fontId="0" fillId="0" borderId="0" xfId="0" quotePrefix="1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8" fontId="11" fillId="0" borderId="0" xfId="0" applyNumberFormat="1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1" fontId="13" fillId="0" borderId="33" xfId="0" applyNumberFormat="1" applyFont="1" applyBorder="1" applyAlignment="1">
      <alignment horizontal="center" vertical="center"/>
    </xf>
    <xf numFmtId="1" fontId="13" fillId="0" borderId="101" xfId="0" applyNumberFormat="1" applyFont="1" applyBorder="1" applyAlignment="1">
      <alignment horizontal="center" vertical="center"/>
    </xf>
    <xf numFmtId="1" fontId="13" fillId="0" borderId="40" xfId="0" applyNumberFormat="1" applyFont="1" applyBorder="1" applyAlignment="1">
      <alignment horizontal="center" vertical="center"/>
    </xf>
    <xf numFmtId="0" fontId="26" fillId="0" borderId="0" xfId="0" applyFont="1"/>
    <xf numFmtId="0" fontId="0" fillId="0" borderId="16" xfId="0" applyBorder="1"/>
    <xf numFmtId="0" fontId="14" fillId="0" borderId="0" xfId="0" applyFont="1"/>
    <xf numFmtId="0" fontId="12" fillId="0" borderId="16" xfId="0" applyFont="1" applyBorder="1" applyAlignment="1">
      <alignment horizontal="left" vertical="center"/>
    </xf>
    <xf numFmtId="0" fontId="12" fillId="0" borderId="16" xfId="0" applyFont="1" applyBorder="1" applyAlignment="1">
      <alignment horizontal="left"/>
    </xf>
    <xf numFmtId="49" fontId="0" fillId="0" borderId="16" xfId="0" applyNumberFormat="1" applyBorder="1"/>
    <xf numFmtId="2" fontId="0" fillId="0" borderId="16" xfId="0" applyNumberFormat="1" applyBorder="1"/>
    <xf numFmtId="0" fontId="12" fillId="0" borderId="0" xfId="0" applyFont="1" applyAlignment="1">
      <alignment vertical="center"/>
    </xf>
    <xf numFmtId="49" fontId="0" fillId="0" borderId="16" xfId="0" quotePrefix="1" applyNumberFormat="1" applyBorder="1"/>
    <xf numFmtId="0" fontId="1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16" xfId="0" applyBorder="1" applyAlignment="1">
      <alignment horizontal="center" vertical="center"/>
    </xf>
    <xf numFmtId="9" fontId="0" fillId="0" borderId="16" xfId="0" applyNumberForma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21" fillId="0" borderId="0" xfId="0" applyFont="1"/>
    <xf numFmtId="0" fontId="0" fillId="0" borderId="0" xfId="0" applyAlignment="1">
      <alignment vertical="top" wrapText="1"/>
    </xf>
    <xf numFmtId="0" fontId="52" fillId="0" borderId="0" xfId="1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top"/>
      <protection locked="0"/>
    </xf>
    <xf numFmtId="0" fontId="2" fillId="0" borderId="9" xfId="0" applyFont="1" applyBorder="1" applyAlignment="1" applyProtection="1">
      <alignment vertical="top"/>
      <protection locked="0"/>
    </xf>
    <xf numFmtId="0" fontId="2" fillId="0" borderId="6" xfId="0" applyFont="1" applyBorder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0" borderId="6" xfId="0" applyFont="1" applyBorder="1" applyAlignment="1" applyProtection="1">
      <alignment vertical="top"/>
      <protection locked="0"/>
    </xf>
    <xf numFmtId="0" fontId="2" fillId="0" borderId="8" xfId="0" applyFont="1" applyBorder="1" applyAlignment="1" applyProtection="1">
      <alignment vertical="top"/>
      <protection locked="0"/>
    </xf>
    <xf numFmtId="0" fontId="0" fillId="0" borderId="8" xfId="0" applyBorder="1" applyAlignment="1" applyProtection="1">
      <alignment vertical="center" wrapText="1"/>
      <protection locked="0"/>
    </xf>
    <xf numFmtId="0" fontId="0" fillId="0" borderId="9" xfId="0" applyBorder="1" applyAlignment="1" applyProtection="1">
      <alignment vertical="center" wrapText="1"/>
      <protection locked="0"/>
    </xf>
    <xf numFmtId="0" fontId="2" fillId="0" borderId="6" xfId="0" applyFont="1" applyBorder="1" applyAlignment="1">
      <alignment vertical="center"/>
    </xf>
    <xf numFmtId="0" fontId="2" fillId="0" borderId="16" xfId="0" applyFont="1" applyBorder="1" applyAlignment="1">
      <alignment vertical="center" wrapText="1"/>
    </xf>
    <xf numFmtId="0" fontId="50" fillId="8" borderId="0" xfId="0" applyFont="1" applyFill="1" applyAlignment="1">
      <alignment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right" vertical="center"/>
    </xf>
    <xf numFmtId="0" fontId="2" fillId="0" borderId="0" xfId="0" applyFont="1"/>
    <xf numFmtId="0" fontId="57" fillId="10" borderId="16" xfId="5" applyFill="1" applyBorder="1"/>
    <xf numFmtId="0" fontId="57" fillId="11" borderId="16" xfId="5" applyFill="1" applyBorder="1" applyAlignment="1">
      <alignment horizontal="center" vertical="center" wrapText="1"/>
    </xf>
    <xf numFmtId="0" fontId="57" fillId="0" borderId="16" xfId="5" applyBorder="1"/>
    <xf numFmtId="14" fontId="57" fillId="0" borderId="16" xfId="5" applyNumberFormat="1" applyBorder="1"/>
    <xf numFmtId="0" fontId="18" fillId="12" borderId="0" xfId="0" applyFont="1" applyFill="1" applyAlignment="1">
      <alignment vertical="center"/>
    </xf>
    <xf numFmtId="0" fontId="60" fillId="6" borderId="7" xfId="0" applyFont="1" applyFill="1" applyBorder="1" applyAlignment="1">
      <alignment horizontal="center" vertical="center"/>
    </xf>
    <xf numFmtId="0" fontId="60" fillId="6" borderId="15" xfId="0" applyFont="1" applyFill="1" applyBorder="1" applyAlignment="1">
      <alignment horizontal="center" vertical="center"/>
    </xf>
    <xf numFmtId="0" fontId="60" fillId="6" borderId="6" xfId="0" applyFont="1" applyFill="1" applyBorder="1" applyAlignment="1">
      <alignment horizontal="center" vertical="center"/>
    </xf>
    <xf numFmtId="0" fontId="61" fillId="0" borderId="0" xfId="0" applyFont="1" applyAlignment="1">
      <alignment vertical="center"/>
    </xf>
    <xf numFmtId="0" fontId="62" fillId="0" borderId="0" xfId="0" applyFont="1" applyAlignment="1">
      <alignment vertical="center"/>
    </xf>
    <xf numFmtId="0" fontId="61" fillId="0" borderId="0" xfId="0" applyFont="1" applyAlignment="1">
      <alignment vertical="center" wrapText="1"/>
    </xf>
    <xf numFmtId="0" fontId="62" fillId="0" borderId="0" xfId="0" applyFont="1" applyAlignment="1">
      <alignment vertical="center" wrapText="1"/>
    </xf>
    <xf numFmtId="0" fontId="59" fillId="0" borderId="0" xfId="0" applyFont="1" applyAlignment="1">
      <alignment vertical="center"/>
    </xf>
    <xf numFmtId="0" fontId="18" fillId="12" borderId="16" xfId="0" applyFont="1" applyFill="1" applyBorder="1" applyAlignment="1">
      <alignment horizontal="center" vertical="center"/>
    </xf>
    <xf numFmtId="2" fontId="18" fillId="12" borderId="16" xfId="0" applyNumberFormat="1" applyFont="1" applyFill="1" applyBorder="1" applyAlignment="1">
      <alignment horizontal="center" vertical="center"/>
    </xf>
    <xf numFmtId="2" fontId="18" fillId="12" borderId="16" xfId="0" applyNumberFormat="1" applyFont="1" applyFill="1" applyBorder="1" applyAlignment="1">
      <alignment horizontal="right" vertical="center"/>
    </xf>
    <xf numFmtId="2" fontId="0" fillId="12" borderId="0" xfId="0" applyNumberFormat="1" applyFill="1" applyAlignment="1">
      <alignment vertical="center"/>
    </xf>
    <xf numFmtId="2" fontId="0" fillId="12" borderId="0" xfId="0" applyNumberFormat="1" applyFill="1"/>
    <xf numFmtId="0" fontId="63" fillId="0" borderId="0" xfId="0" applyFont="1"/>
    <xf numFmtId="0" fontId="58" fillId="0" borderId="0" xfId="0" applyFont="1"/>
    <xf numFmtId="0" fontId="2" fillId="12" borderId="0" xfId="0" applyFont="1" applyFill="1" applyAlignment="1">
      <alignment vertical="center"/>
    </xf>
    <xf numFmtId="0" fontId="0" fillId="0" borderId="17" xfId="0" applyBorder="1" applyAlignment="1">
      <alignment vertical="center"/>
    </xf>
    <xf numFmtId="0" fontId="0" fillId="8" borderId="0" xfId="0" applyFill="1" applyAlignment="1">
      <alignment vertical="center"/>
    </xf>
    <xf numFmtId="3" fontId="0" fillId="0" borderId="16" xfId="0" applyNumberForma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2" fontId="0" fillId="8" borderId="0" xfId="0" applyNumberFormat="1" applyFill="1" applyAlignment="1">
      <alignment vertical="center"/>
    </xf>
    <xf numFmtId="0" fontId="13" fillId="0" borderId="0" xfId="0" applyFont="1" applyAlignment="1">
      <alignment horizontal="left" vertical="center"/>
    </xf>
    <xf numFmtId="2" fontId="13" fillId="0" borderId="33" xfId="0" applyNumberFormat="1" applyFont="1" applyBorder="1" applyAlignment="1">
      <alignment horizontal="center" vertical="center"/>
    </xf>
    <xf numFmtId="2" fontId="13" fillId="0" borderId="101" xfId="0" applyNumberFormat="1" applyFont="1" applyBorder="1" applyAlignment="1">
      <alignment horizontal="center" vertical="center"/>
    </xf>
    <xf numFmtId="2" fontId="13" fillId="0" borderId="40" xfId="0" applyNumberFormat="1" applyFont="1" applyBorder="1" applyAlignment="1">
      <alignment horizontal="center" vertical="center"/>
    </xf>
    <xf numFmtId="0" fontId="7" fillId="0" borderId="0" xfId="5" applyFont="1"/>
    <xf numFmtId="0" fontId="0" fillId="0" borderId="0" xfId="5" applyFont="1"/>
    <xf numFmtId="22" fontId="11" fillId="0" borderId="0" xfId="0" applyNumberFormat="1" applyFont="1" applyAlignment="1">
      <alignment horizontal="center" vertical="center"/>
    </xf>
    <xf numFmtId="0" fontId="0" fillId="0" borderId="12" xfId="0" applyBorder="1" applyAlignment="1">
      <alignment vertical="center"/>
    </xf>
    <xf numFmtId="2" fontId="57" fillId="0" borderId="16" xfId="5" applyNumberFormat="1" applyBorder="1"/>
    <xf numFmtId="0" fontId="0" fillId="12" borderId="0" xfId="0" applyFill="1" applyAlignment="1">
      <alignment vertical="center"/>
    </xf>
    <xf numFmtId="175" fontId="18" fillId="0" borderId="0" xfId="0" applyNumberFormat="1" applyFont="1" applyAlignment="1">
      <alignment vertical="center"/>
    </xf>
    <xf numFmtId="175" fontId="18" fillId="0" borderId="0" xfId="0" applyNumberFormat="1" applyFont="1" applyAlignment="1">
      <alignment horizontal="right" vertical="center"/>
    </xf>
    <xf numFmtId="1" fontId="25" fillId="0" borderId="0" xfId="0" applyNumberFormat="1" applyFont="1" applyAlignment="1">
      <alignment vertical="center"/>
    </xf>
    <xf numFmtId="1" fontId="25" fillId="0" borderId="0" xfId="0" quotePrefix="1" applyNumberFormat="1" applyFont="1" applyAlignment="1">
      <alignment vertical="center"/>
    </xf>
    <xf numFmtId="0" fontId="25" fillId="0" borderId="0" xfId="0" applyFont="1" applyAlignment="1">
      <alignment vertical="center"/>
    </xf>
    <xf numFmtId="0" fontId="13" fillId="0" borderId="0" xfId="0" applyFont="1" applyAlignment="1">
      <alignment vertical="top" wrapText="1"/>
    </xf>
    <xf numFmtId="167" fontId="0" fillId="0" borderId="7" xfId="0" applyNumberFormat="1" applyBorder="1" applyAlignment="1">
      <alignment vertical="center"/>
    </xf>
    <xf numFmtId="1" fontId="13" fillId="0" borderId="16" xfId="0" applyNumberFormat="1" applyFont="1" applyBorder="1" applyAlignment="1">
      <alignment horizontal="center" vertical="center"/>
    </xf>
    <xf numFmtId="1" fontId="18" fillId="12" borderId="0" xfId="0" applyNumberFormat="1" applyFont="1" applyFill="1" applyAlignment="1">
      <alignment vertical="center"/>
    </xf>
    <xf numFmtId="0" fontId="39" fillId="5" borderId="0" xfId="0" applyFont="1" applyFill="1" applyAlignment="1">
      <alignment horizontal="left" vertical="center"/>
    </xf>
    <xf numFmtId="173" fontId="0" fillId="0" borderId="0" xfId="0" applyNumberFormat="1" applyAlignment="1">
      <alignment horizontal="left" vertical="center"/>
    </xf>
    <xf numFmtId="0" fontId="65" fillId="0" borderId="0" xfId="0" applyFont="1" applyAlignment="1">
      <alignment vertical="center"/>
    </xf>
    <xf numFmtId="0" fontId="3" fillId="0" borderId="16" xfId="0" applyFont="1" applyBorder="1" applyAlignment="1">
      <alignment vertical="center"/>
    </xf>
    <xf numFmtId="173" fontId="2" fillId="0" borderId="0" xfId="0" applyNumberFormat="1" applyFont="1" applyAlignment="1">
      <alignment horizontal="right" vertical="center"/>
    </xf>
    <xf numFmtId="173" fontId="18" fillId="12" borderId="0" xfId="0" applyNumberFormat="1" applyFont="1" applyFill="1" applyAlignment="1">
      <alignment vertical="center"/>
    </xf>
    <xf numFmtId="1" fontId="11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top" wrapText="1"/>
    </xf>
    <xf numFmtId="0" fontId="17" fillId="0" borderId="0" xfId="0" applyFont="1" applyAlignment="1">
      <alignment horizontal="left" vertical="top" wrapText="1"/>
    </xf>
    <xf numFmtId="0" fontId="25" fillId="0" borderId="0" xfId="0" applyFont="1" applyAlignment="1">
      <alignment horizontal="left" vertical="top"/>
    </xf>
    <xf numFmtId="167" fontId="0" fillId="0" borderId="3" xfId="0" applyNumberFormat="1" applyBorder="1" applyAlignment="1">
      <alignment vertical="center"/>
    </xf>
    <xf numFmtId="167" fontId="0" fillId="0" borderId="5" xfId="0" applyNumberForma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left"/>
    </xf>
    <xf numFmtId="0" fontId="22" fillId="0" borderId="0" xfId="0" applyFont="1"/>
    <xf numFmtId="0" fontId="66" fillId="0" borderId="0" xfId="0" applyFont="1" applyAlignment="1">
      <alignment horizontal="center"/>
    </xf>
    <xf numFmtId="0" fontId="55" fillId="0" borderId="0" xfId="0" applyFont="1" applyAlignment="1">
      <alignment horizontal="right"/>
    </xf>
    <xf numFmtId="0" fontId="55" fillId="0" borderId="0" xfId="0" applyFont="1" applyAlignment="1">
      <alignment horizontal="left"/>
    </xf>
    <xf numFmtId="0" fontId="19" fillId="0" borderId="0" xfId="0" applyFont="1"/>
    <xf numFmtId="0" fontId="54" fillId="0" borderId="0" xfId="0" applyFont="1"/>
    <xf numFmtId="0" fontId="0" fillId="0" borderId="0" xfId="0" applyAlignment="1" applyProtection="1">
      <alignment vertical="center"/>
      <protection locked="0"/>
    </xf>
    <xf numFmtId="0" fontId="16" fillId="0" borderId="0" xfId="0" applyFont="1" applyAlignment="1" applyProtection="1">
      <alignment vertical="center"/>
      <protection locked="0"/>
    </xf>
    <xf numFmtId="0" fontId="0" fillId="10" borderId="67" xfId="0" applyFill="1" applyBorder="1" applyAlignment="1" applyProtection="1">
      <alignment horizontal="center" vertical="center"/>
      <protection locked="0"/>
    </xf>
    <xf numFmtId="0" fontId="0" fillId="10" borderId="0" xfId="0" applyFill="1" applyAlignment="1" applyProtection="1">
      <alignment horizontal="center" vertical="center"/>
      <protection locked="0"/>
    </xf>
    <xf numFmtId="0" fontId="0" fillId="10" borderId="0" xfId="0" applyFill="1" applyAlignment="1" applyProtection="1">
      <alignment vertical="center"/>
      <protection locked="0"/>
    </xf>
    <xf numFmtId="165" fontId="13" fillId="10" borderId="81" xfId="0" applyNumberFormat="1" applyFont="1" applyFill="1" applyBorder="1" applyAlignment="1" applyProtection="1">
      <alignment horizontal="center" vertical="center"/>
      <protection locked="0"/>
    </xf>
    <xf numFmtId="165" fontId="13" fillId="10" borderId="84" xfId="0" applyNumberFormat="1" applyFont="1" applyFill="1" applyBorder="1" applyAlignment="1" applyProtection="1">
      <alignment horizontal="center" vertical="center"/>
      <protection locked="0"/>
    </xf>
    <xf numFmtId="165" fontId="13" fillId="10" borderId="98" xfId="0" applyNumberFormat="1" applyFont="1" applyFill="1" applyBorder="1" applyAlignment="1" applyProtection="1">
      <alignment horizontal="center" vertical="center"/>
      <protection locked="0"/>
    </xf>
    <xf numFmtId="165" fontId="13" fillId="10" borderId="88" xfId="0" applyNumberFormat="1" applyFont="1" applyFill="1" applyBorder="1" applyAlignment="1" applyProtection="1">
      <alignment horizontal="center" vertical="center"/>
      <protection locked="0"/>
    </xf>
    <xf numFmtId="165" fontId="13" fillId="10" borderId="102" xfId="0" applyNumberFormat="1" applyFont="1" applyFill="1" applyBorder="1" applyAlignment="1" applyProtection="1">
      <alignment horizontal="center" vertical="center"/>
      <protection locked="0"/>
    </xf>
    <xf numFmtId="165" fontId="13" fillId="10" borderId="115" xfId="0" applyNumberFormat="1" applyFont="1" applyFill="1" applyBorder="1" applyAlignment="1" applyProtection="1">
      <alignment horizontal="center" vertical="center"/>
      <protection locked="0"/>
    </xf>
    <xf numFmtId="165" fontId="13" fillId="10" borderId="104" xfId="0" applyNumberFormat="1" applyFont="1" applyFill="1" applyBorder="1" applyAlignment="1" applyProtection="1">
      <alignment horizontal="center" vertical="center"/>
      <protection locked="0"/>
    </xf>
    <xf numFmtId="165" fontId="13" fillId="10" borderId="107" xfId="0" applyNumberFormat="1" applyFont="1" applyFill="1" applyBorder="1" applyAlignment="1" applyProtection="1">
      <alignment horizontal="center" vertical="center"/>
      <protection locked="0"/>
    </xf>
    <xf numFmtId="0" fontId="0" fillId="10" borderId="84" xfId="0" applyFill="1" applyBorder="1" applyAlignment="1" applyProtection="1">
      <alignment horizontal="center" vertical="center"/>
      <protection locked="0"/>
    </xf>
    <xf numFmtId="0" fontId="0" fillId="10" borderId="87" xfId="0" applyFill="1" applyBorder="1" applyAlignment="1" applyProtection="1">
      <alignment horizontal="center" vertical="center" wrapText="1"/>
      <protection locked="0"/>
    </xf>
    <xf numFmtId="0" fontId="0" fillId="10" borderId="89" xfId="0" applyFill="1" applyBorder="1" applyAlignment="1" applyProtection="1">
      <alignment horizontal="center" vertical="center"/>
      <protection locked="0"/>
    </xf>
    <xf numFmtId="0" fontId="0" fillId="10" borderId="105" xfId="0" applyFill="1" applyBorder="1" applyAlignment="1" applyProtection="1">
      <alignment horizontal="center" vertical="center"/>
      <protection locked="0"/>
    </xf>
    <xf numFmtId="0" fontId="0" fillId="10" borderId="111" xfId="0" applyFill="1" applyBorder="1" applyAlignment="1" applyProtection="1">
      <alignment horizontal="center" vertical="center"/>
      <protection locked="0"/>
    </xf>
    <xf numFmtId="0" fontId="68" fillId="13" borderId="4" xfId="0" applyFont="1" applyFill="1" applyBorder="1" applyAlignment="1">
      <alignment vertical="center"/>
    </xf>
    <xf numFmtId="0" fontId="68" fillId="13" borderId="11" xfId="0" applyFont="1" applyFill="1" applyBorder="1" applyAlignment="1">
      <alignment vertical="center"/>
    </xf>
    <xf numFmtId="0" fontId="68" fillId="13" borderId="11" xfId="0" applyFont="1" applyFill="1" applyBorder="1" applyAlignment="1">
      <alignment horizontal="right" vertical="center"/>
    </xf>
    <xf numFmtId="0" fontId="40" fillId="13" borderId="4" xfId="0" applyFont="1" applyFill="1" applyBorder="1" applyAlignment="1">
      <alignment horizontal="center" vertical="center" wrapText="1"/>
    </xf>
    <xf numFmtId="0" fontId="40" fillId="13" borderId="11" xfId="0" applyFont="1" applyFill="1" applyBorder="1" applyAlignment="1">
      <alignment vertical="center" wrapText="1"/>
    </xf>
    <xf numFmtId="0" fontId="40" fillId="13" borderId="2" xfId="0" applyFont="1" applyFill="1" applyBorder="1" applyAlignment="1">
      <alignment vertical="center" wrapText="1"/>
    </xf>
    <xf numFmtId="0" fontId="40" fillId="13" borderId="16" xfId="0" applyFont="1" applyFill="1" applyBorder="1" applyAlignment="1">
      <alignment horizontal="center" vertical="center" wrapText="1"/>
    </xf>
    <xf numFmtId="0" fontId="48" fillId="0" borderId="16" xfId="0" applyFont="1" applyBorder="1" applyAlignment="1">
      <alignment horizontal="center" vertical="center" wrapText="1"/>
    </xf>
    <xf numFmtId="0" fontId="68" fillId="6" borderId="4" xfId="0" applyFont="1" applyFill="1" applyBorder="1" applyAlignment="1">
      <alignment vertical="center"/>
    </xf>
    <xf numFmtId="0" fontId="69" fillId="6" borderId="11" xfId="0" applyFont="1" applyFill="1" applyBorder="1" applyAlignment="1">
      <alignment vertical="center"/>
    </xf>
    <xf numFmtId="0" fontId="68" fillId="6" borderId="11" xfId="0" applyFont="1" applyFill="1" applyBorder="1" applyAlignment="1">
      <alignment horizontal="right" vertical="center"/>
    </xf>
    <xf numFmtId="0" fontId="70" fillId="0" borderId="0" xfId="0" applyFont="1"/>
    <xf numFmtId="1" fontId="57" fillId="0" borderId="16" xfId="5" applyNumberFormat="1" applyBorder="1"/>
    <xf numFmtId="0" fontId="13" fillId="0" borderId="120" xfId="0" applyFont="1" applyBorder="1" applyAlignment="1">
      <alignment vertical="center"/>
    </xf>
    <xf numFmtId="0" fontId="13" fillId="0" borderId="15" xfId="0" applyFont="1" applyBorder="1" applyAlignment="1">
      <alignment vertical="center"/>
    </xf>
    <xf numFmtId="0" fontId="13" fillId="0" borderId="14" xfId="0" applyFont="1" applyBorder="1" applyAlignment="1">
      <alignment vertical="center"/>
    </xf>
    <xf numFmtId="0" fontId="2" fillId="0" borderId="120" xfId="0" applyFont="1" applyBorder="1" applyAlignment="1">
      <alignment horizontal="center" vertical="center" wrapText="1"/>
    </xf>
    <xf numFmtId="0" fontId="22" fillId="0" borderId="0" xfId="0" quotePrefix="1" applyFont="1" applyAlignment="1">
      <alignment horizontal="left"/>
    </xf>
    <xf numFmtId="0" fontId="0" fillId="0" borderId="0" xfId="0" applyAlignment="1">
      <alignment horizontal="left"/>
    </xf>
    <xf numFmtId="0" fontId="6" fillId="0" borderId="0" xfId="1"/>
    <xf numFmtId="0" fontId="7" fillId="0" borderId="0" xfId="0" applyFont="1"/>
    <xf numFmtId="0" fontId="19" fillId="11" borderId="16" xfId="5" applyFont="1" applyFill="1" applyBorder="1" applyAlignment="1">
      <alignment horizontal="center" vertical="center" wrapText="1"/>
    </xf>
    <xf numFmtId="170" fontId="73" fillId="0" borderId="0" xfId="0" applyNumberFormat="1" applyFont="1"/>
    <xf numFmtId="0" fontId="22" fillId="0" borderId="0" xfId="0" quotePrefix="1" applyFont="1"/>
    <xf numFmtId="49" fontId="0" fillId="10" borderId="81" xfId="0" applyNumberFormat="1" applyFill="1" applyBorder="1" applyAlignment="1" applyProtection="1">
      <alignment horizontal="center" vertical="center"/>
      <protection locked="0"/>
    </xf>
    <xf numFmtId="49" fontId="0" fillId="10" borderId="84" xfId="0" applyNumberFormat="1" applyFill="1" applyBorder="1" applyAlignment="1" applyProtection="1">
      <alignment horizontal="center" vertical="center"/>
      <protection locked="0"/>
    </xf>
    <xf numFmtId="49" fontId="0" fillId="10" borderId="87" xfId="0" applyNumberFormat="1" applyFill="1" applyBorder="1" applyAlignment="1" applyProtection="1">
      <alignment horizontal="center" vertical="center"/>
      <protection locked="0"/>
    </xf>
    <xf numFmtId="49" fontId="0" fillId="10" borderId="81" xfId="0" applyNumberFormat="1" applyFill="1" applyBorder="1" applyAlignment="1" applyProtection="1">
      <alignment horizontal="center" vertical="center" wrapText="1"/>
      <protection locked="0"/>
    </xf>
    <xf numFmtId="49" fontId="0" fillId="10" borderId="87" xfId="0" applyNumberFormat="1" applyFill="1" applyBorder="1" applyAlignment="1" applyProtection="1">
      <alignment horizontal="center" vertical="center" wrapText="1"/>
      <protection locked="0"/>
    </xf>
    <xf numFmtId="49" fontId="0" fillId="10" borderId="89" xfId="0" applyNumberFormat="1" applyFill="1" applyBorder="1" applyAlignment="1" applyProtection="1">
      <alignment horizontal="center" vertical="center" wrapText="1"/>
      <protection locked="0"/>
    </xf>
    <xf numFmtId="49" fontId="0" fillId="10" borderId="84" xfId="0" applyNumberFormat="1" applyFill="1" applyBorder="1" applyAlignment="1" applyProtection="1">
      <alignment horizontal="center" vertical="center" wrapText="1"/>
      <protection locked="0"/>
    </xf>
    <xf numFmtId="49" fontId="0" fillId="10" borderId="89" xfId="0" applyNumberFormat="1" applyFill="1" applyBorder="1" applyAlignment="1" applyProtection="1">
      <alignment horizontal="center" vertical="center"/>
      <protection locked="0"/>
    </xf>
    <xf numFmtId="49" fontId="0" fillId="10" borderId="80" xfId="0" applyNumberFormat="1" applyFill="1" applyBorder="1" applyAlignment="1" applyProtection="1">
      <alignment horizontal="center" vertical="center"/>
      <protection locked="0"/>
    </xf>
    <xf numFmtId="49" fontId="0" fillId="10" borderId="86" xfId="0" applyNumberFormat="1" applyFill="1" applyBorder="1" applyAlignment="1" applyProtection="1">
      <alignment horizontal="center" vertical="center"/>
      <protection locked="0"/>
    </xf>
    <xf numFmtId="49" fontId="19" fillId="10" borderId="89" xfId="0" applyNumberFormat="1" applyFont="1" applyFill="1" applyBorder="1" applyAlignment="1" applyProtection="1">
      <alignment horizontal="center" vertical="center"/>
      <protection locked="0"/>
    </xf>
    <xf numFmtId="49" fontId="19" fillId="10" borderId="87" xfId="0" applyNumberFormat="1" applyFont="1" applyFill="1" applyBorder="1" applyAlignment="1" applyProtection="1">
      <alignment horizontal="center" vertical="center"/>
      <protection locked="0"/>
    </xf>
    <xf numFmtId="0" fontId="74" fillId="0" borderId="3" xfId="0" applyFont="1" applyBorder="1" applyAlignment="1">
      <alignment horizontal="center" vertical="center" wrapText="1"/>
    </xf>
    <xf numFmtId="0" fontId="73" fillId="0" borderId="6" xfId="0" applyFont="1" applyBorder="1"/>
    <xf numFmtId="0" fontId="73" fillId="0" borderId="0" xfId="0" applyFont="1"/>
    <xf numFmtId="170" fontId="73" fillId="0" borderId="0" xfId="0" applyNumberFormat="1" applyFont="1" applyAlignment="1">
      <alignment horizontal="center"/>
    </xf>
    <xf numFmtId="2" fontId="73" fillId="0" borderId="0" xfId="0" applyNumberFormat="1" applyFont="1"/>
    <xf numFmtId="0" fontId="73" fillId="0" borderId="0" xfId="0" applyFont="1" applyAlignment="1">
      <alignment horizontal="center" vertical="center"/>
    </xf>
    <xf numFmtId="0" fontId="73" fillId="0" borderId="7" xfId="0" applyFont="1" applyBorder="1"/>
    <xf numFmtId="0" fontId="73" fillId="0" borderId="0" xfId="0" applyFont="1" applyAlignment="1">
      <alignment horizontal="center"/>
    </xf>
    <xf numFmtId="0" fontId="73" fillId="0" borderId="9" xfId="0" applyFont="1" applyBorder="1"/>
    <xf numFmtId="0" fontId="73" fillId="0" borderId="9" xfId="0" applyFont="1" applyBorder="1" applyAlignment="1">
      <alignment horizontal="center"/>
    </xf>
    <xf numFmtId="0" fontId="73" fillId="0" borderId="10" xfId="0" applyFont="1" applyBorder="1"/>
    <xf numFmtId="0" fontId="74" fillId="0" borderId="1" xfId="0" applyFont="1" applyBorder="1" applyAlignment="1">
      <alignment vertical="center" wrapText="1"/>
    </xf>
    <xf numFmtId="0" fontId="74" fillId="0" borderId="5" xfId="0" applyFont="1" applyBorder="1" applyAlignment="1">
      <alignment horizontal="center" vertical="center" wrapText="1"/>
    </xf>
    <xf numFmtId="0" fontId="74" fillId="0" borderId="0" xfId="0" applyFont="1" applyAlignment="1">
      <alignment horizontal="center" vertical="center" wrapText="1"/>
    </xf>
    <xf numFmtId="0" fontId="74" fillId="0" borderId="0" xfId="0" applyFont="1" applyAlignment="1">
      <alignment vertical="center" wrapText="1"/>
    </xf>
    <xf numFmtId="0" fontId="74" fillId="0" borderId="0" xfId="0" applyFont="1" applyAlignment="1">
      <alignment vertical="center"/>
    </xf>
    <xf numFmtId="0" fontId="2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4" fillId="0" borderId="0" xfId="0" applyFont="1" applyAlignment="1">
      <alignment horizontal="center"/>
    </xf>
    <xf numFmtId="0" fontId="21" fillId="4" borderId="0" xfId="0" applyFont="1" applyFill="1" applyAlignment="1">
      <alignment horizontal="center"/>
    </xf>
    <xf numFmtId="0" fontId="28" fillId="4" borderId="0" xfId="0" applyFont="1" applyFill="1" applyAlignment="1">
      <alignment horizontal="center"/>
    </xf>
    <xf numFmtId="0" fontId="21" fillId="11" borderId="0" xfId="0" applyFont="1" applyFill="1" applyAlignment="1">
      <alignment horizontal="center"/>
    </xf>
    <xf numFmtId="0" fontId="22" fillId="0" borderId="0" xfId="0" quotePrefix="1" applyFont="1" applyAlignment="1">
      <alignment horizontal="center"/>
    </xf>
    <xf numFmtId="0" fontId="22" fillId="5" borderId="0" xfId="0" applyFont="1" applyFill="1" applyAlignment="1">
      <alignment horizontal="center"/>
    </xf>
    <xf numFmtId="0" fontId="22" fillId="0" borderId="0" xfId="0" applyFont="1" applyAlignment="1">
      <alignment horizontal="center" wrapText="1"/>
    </xf>
    <xf numFmtId="0" fontId="27" fillId="0" borderId="0" xfId="0" applyFont="1" applyAlignment="1">
      <alignment horizontal="center"/>
    </xf>
    <xf numFmtId="0" fontId="6" fillId="0" borderId="0" xfId="1" applyFill="1" applyAlignment="1" applyProtection="1">
      <alignment horizontal="center"/>
    </xf>
    <xf numFmtId="0" fontId="66" fillId="0" borderId="0" xfId="0" applyFont="1" applyAlignment="1">
      <alignment horizontal="center"/>
    </xf>
    <xf numFmtId="0" fontId="22" fillId="0" borderId="0" xfId="0" applyFont="1"/>
    <xf numFmtId="0" fontId="30" fillId="2" borderId="0" xfId="0" applyFont="1" applyFill="1" applyAlignment="1">
      <alignment horizontal="center"/>
    </xf>
    <xf numFmtId="0" fontId="72" fillId="0" borderId="4" xfId="0" applyFont="1" applyBorder="1" applyAlignment="1">
      <alignment horizontal="center" vertical="center"/>
    </xf>
    <xf numFmtId="0" fontId="72" fillId="0" borderId="11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18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25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top"/>
    </xf>
    <xf numFmtId="0" fontId="18" fillId="0" borderId="0" xfId="0" applyFont="1" applyAlignment="1">
      <alignment horizontal="left" vertical="top" wrapText="1"/>
    </xf>
    <xf numFmtId="0" fontId="0" fillId="0" borderId="0" xfId="0"/>
    <xf numFmtId="0" fontId="17" fillId="0" borderId="0" xfId="0" applyFont="1" applyAlignment="1">
      <alignment horizontal="left" vertical="top" wrapText="1"/>
    </xf>
    <xf numFmtId="0" fontId="25" fillId="0" borderId="74" xfId="0" applyFont="1" applyBorder="1" applyAlignment="1">
      <alignment horizontal="center" vertical="top" wrapText="1"/>
    </xf>
    <xf numFmtId="0" fontId="25" fillId="0" borderId="0" xfId="0" applyFont="1" applyAlignment="1">
      <alignment horizontal="center" vertical="top" wrapText="1"/>
    </xf>
    <xf numFmtId="0" fontId="25" fillId="0" borderId="76" xfId="0" applyFont="1" applyBorder="1" applyAlignment="1">
      <alignment horizontal="center" vertical="top" wrapText="1"/>
    </xf>
    <xf numFmtId="0" fontId="25" fillId="0" borderId="77" xfId="0" applyFont="1" applyBorder="1" applyAlignment="1">
      <alignment horizontal="center" vertical="top" wrapText="1"/>
    </xf>
    <xf numFmtId="0" fontId="18" fillId="10" borderId="0" xfId="0" applyFont="1" applyFill="1" applyAlignment="1" applyProtection="1">
      <alignment horizontal="left" vertical="top" wrapText="1"/>
      <protection locked="0"/>
    </xf>
    <xf numFmtId="0" fontId="0" fillId="5" borderId="41" xfId="0" applyFill="1" applyBorder="1" applyAlignment="1">
      <alignment horizontal="left" vertical="top" wrapText="1"/>
    </xf>
    <xf numFmtId="0" fontId="0" fillId="5" borderId="42" xfId="0" applyFill="1" applyBorder="1" applyAlignment="1">
      <alignment horizontal="left" vertical="top" wrapText="1"/>
    </xf>
    <xf numFmtId="0" fontId="0" fillId="5" borderId="43" xfId="0" applyFill="1" applyBorder="1" applyAlignment="1">
      <alignment horizontal="left" vertical="top" wrapText="1"/>
    </xf>
    <xf numFmtId="0" fontId="0" fillId="5" borderId="70" xfId="0" applyFill="1" applyBorder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0" fontId="0" fillId="5" borderId="69" xfId="0" applyFill="1" applyBorder="1" applyAlignment="1">
      <alignment horizontal="left" vertical="top" wrapText="1"/>
    </xf>
    <xf numFmtId="0" fontId="0" fillId="5" borderId="44" xfId="0" applyFill="1" applyBorder="1" applyAlignment="1">
      <alignment horizontal="left" vertical="top" wrapText="1"/>
    </xf>
    <xf numFmtId="0" fontId="0" fillId="5" borderId="45" xfId="0" applyFill="1" applyBorder="1" applyAlignment="1">
      <alignment horizontal="left" vertical="top" wrapText="1"/>
    </xf>
    <xf numFmtId="0" fontId="0" fillId="5" borderId="46" xfId="0" applyFill="1" applyBorder="1" applyAlignment="1">
      <alignment horizontal="left" vertical="top" wrapText="1"/>
    </xf>
    <xf numFmtId="167" fontId="0" fillId="0" borderId="0" xfId="0" applyNumberFormat="1" applyAlignment="1">
      <alignment horizontal="center" vertical="center"/>
    </xf>
    <xf numFmtId="0" fontId="0" fillId="5" borderId="0" xfId="0" applyFill="1" applyAlignment="1">
      <alignment horizontal="right" vertical="center"/>
    </xf>
    <xf numFmtId="0" fontId="0" fillId="5" borderId="0" xfId="0" applyFill="1" applyAlignment="1">
      <alignment horizontal="left" vertical="center"/>
    </xf>
    <xf numFmtId="0" fontId="42" fillId="0" borderId="79" xfId="0" applyFont="1" applyBorder="1" applyAlignment="1">
      <alignment horizontal="center" vertical="center"/>
    </xf>
    <xf numFmtId="0" fontId="41" fillId="0" borderId="0" xfId="0" applyFont="1" applyAlignment="1">
      <alignment horizontal="center"/>
    </xf>
    <xf numFmtId="0" fontId="30" fillId="2" borderId="61" xfId="0" applyFont="1" applyFill="1" applyBorder="1" applyAlignment="1">
      <alignment horizontal="center" vertical="center"/>
    </xf>
    <xf numFmtId="0" fontId="18" fillId="0" borderId="0" xfId="0" applyFont="1" applyAlignment="1">
      <alignment horizontal="left" wrapText="1"/>
    </xf>
    <xf numFmtId="0" fontId="30" fillId="5" borderId="6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46" fillId="0" borderId="0" xfId="1" applyFont="1" applyAlignment="1" applyProtection="1">
      <alignment horizontal="center" vertical="center"/>
    </xf>
    <xf numFmtId="0" fontId="46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top"/>
    </xf>
    <xf numFmtId="0" fontId="6" fillId="0" borderId="0" xfId="1" applyBorder="1" applyAlignment="1" applyProtection="1">
      <alignment horizontal="left" vertical="top" wrapText="1"/>
      <protection locked="0"/>
    </xf>
    <xf numFmtId="0" fontId="6" fillId="0" borderId="0" xfId="1" applyAlignment="1" applyProtection="1">
      <alignment horizontal="left" vertical="top"/>
      <protection locked="0"/>
    </xf>
    <xf numFmtId="0" fontId="38" fillId="0" borderId="0" xfId="0" applyFont="1" applyAlignment="1">
      <alignment horizontal="left" vertical="top" wrapText="1"/>
    </xf>
    <xf numFmtId="0" fontId="0" fillId="10" borderId="0" xfId="0" applyFill="1" applyAlignment="1" applyProtection="1">
      <alignment horizontal="left" vertical="center"/>
      <protection locked="0"/>
    </xf>
    <xf numFmtId="14" fontId="18" fillId="10" borderId="53" xfId="0" applyNumberFormat="1" applyFont="1" applyFill="1" applyBorder="1" applyAlignment="1" applyProtection="1">
      <alignment horizontal="center" vertical="center"/>
      <protection locked="0"/>
    </xf>
    <xf numFmtId="14" fontId="18" fillId="10" borderId="54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0" fontId="25" fillId="0" borderId="71" xfId="0" applyFont="1" applyBorder="1" applyAlignment="1">
      <alignment horizontal="center" vertical="top" wrapText="1"/>
    </xf>
    <xf numFmtId="0" fontId="25" fillId="0" borderId="72" xfId="0" applyFont="1" applyBorder="1" applyAlignment="1">
      <alignment horizontal="center" vertical="top" wrapText="1"/>
    </xf>
    <xf numFmtId="0" fontId="25" fillId="0" borderId="73" xfId="0" applyFont="1" applyBorder="1" applyAlignment="1">
      <alignment horizontal="center" vertical="top" wrapText="1"/>
    </xf>
    <xf numFmtId="0" fontId="18" fillId="0" borderId="0" xfId="0" applyFont="1" applyAlignment="1" applyProtection="1">
      <alignment horizontal="center" vertical="center"/>
      <protection locked="0"/>
    </xf>
    <xf numFmtId="0" fontId="52" fillId="0" borderId="0" xfId="1" applyFont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8" fillId="10" borderId="63" xfId="0" applyFont="1" applyFill="1" applyBorder="1" applyAlignment="1" applyProtection="1">
      <alignment horizontal="left" vertical="center"/>
      <protection locked="0"/>
    </xf>
    <xf numFmtId="0" fontId="18" fillId="10" borderId="55" xfId="0" applyFont="1" applyFill="1" applyBorder="1" applyAlignment="1" applyProtection="1">
      <alignment horizontal="left" vertical="center"/>
      <protection locked="0"/>
    </xf>
    <xf numFmtId="174" fontId="0" fillId="10" borderId="55" xfId="7" applyNumberFormat="1" applyFont="1" applyFill="1" applyBorder="1" applyAlignment="1" applyProtection="1">
      <alignment horizontal="center" vertical="center"/>
      <protection locked="0"/>
    </xf>
    <xf numFmtId="174" fontId="0" fillId="10" borderId="56" xfId="7" applyNumberFormat="1" applyFont="1" applyFill="1" applyBorder="1" applyAlignment="1" applyProtection="1">
      <alignment horizontal="center" vertical="center"/>
      <protection locked="0"/>
    </xf>
    <xf numFmtId="0" fontId="50" fillId="8" borderId="0" xfId="0" applyFont="1" applyFill="1" applyAlignment="1">
      <alignment horizontal="left" vertical="center"/>
    </xf>
    <xf numFmtId="0" fontId="18" fillId="10" borderId="48" xfId="0" applyFont="1" applyFill="1" applyBorder="1" applyAlignment="1" applyProtection="1">
      <alignment horizontal="left" vertical="center"/>
      <protection locked="0"/>
    </xf>
    <xf numFmtId="0" fontId="18" fillId="10" borderId="49" xfId="0" applyFont="1" applyFill="1" applyBorder="1" applyAlignment="1" applyProtection="1">
      <alignment horizontal="left" vertical="center"/>
      <protection locked="0"/>
    </xf>
    <xf numFmtId="174" fontId="0" fillId="10" borderId="49" xfId="7" applyNumberFormat="1" applyFont="1" applyFill="1" applyBorder="1" applyAlignment="1" applyProtection="1">
      <alignment horizontal="center" vertical="center"/>
      <protection locked="0"/>
    </xf>
    <xf numFmtId="174" fontId="0" fillId="10" borderId="51" xfId="7" applyNumberFormat="1" applyFont="1" applyFill="1" applyBorder="1" applyAlignment="1" applyProtection="1">
      <alignment horizontal="center" vertical="center"/>
      <protection locked="0"/>
    </xf>
    <xf numFmtId="0" fontId="18" fillId="10" borderId="52" xfId="0" applyFont="1" applyFill="1" applyBorder="1" applyAlignment="1" applyProtection="1">
      <alignment horizontal="left" vertical="center"/>
      <protection locked="0"/>
    </xf>
    <xf numFmtId="0" fontId="18" fillId="10" borderId="53" xfId="0" applyFont="1" applyFill="1" applyBorder="1" applyAlignment="1" applyProtection="1">
      <alignment horizontal="left" vertical="center"/>
      <protection locked="0"/>
    </xf>
    <xf numFmtId="174" fontId="0" fillId="10" borderId="53" xfId="7" applyNumberFormat="1" applyFont="1" applyFill="1" applyBorder="1" applyAlignment="1" applyProtection="1">
      <alignment horizontal="center" vertical="center"/>
      <protection locked="0"/>
    </xf>
    <xf numFmtId="174" fontId="0" fillId="10" borderId="54" xfId="7" applyNumberFormat="1" applyFont="1" applyFill="1" applyBorder="1" applyAlignment="1" applyProtection="1">
      <alignment horizontal="center" vertical="center"/>
      <protection locked="0"/>
    </xf>
    <xf numFmtId="174" fontId="0" fillId="0" borderId="64" xfId="7" applyNumberFormat="1" applyFont="1" applyBorder="1" applyAlignment="1" applyProtection="1">
      <alignment horizontal="center" vertical="center"/>
    </xf>
    <xf numFmtId="174" fontId="0" fillId="0" borderId="65" xfId="7" applyNumberFormat="1" applyFont="1" applyBorder="1" applyAlignment="1" applyProtection="1">
      <alignment horizontal="center" vertical="center"/>
    </xf>
    <xf numFmtId="174" fontId="0" fillId="0" borderId="66" xfId="7" applyNumberFormat="1" applyFont="1" applyBorder="1" applyAlignment="1" applyProtection="1">
      <alignment horizontal="center" vertical="center"/>
    </xf>
    <xf numFmtId="174" fontId="2" fillId="8" borderId="0" xfId="7" applyNumberFormat="1" applyFont="1" applyFill="1" applyBorder="1" applyAlignment="1" applyProtection="1">
      <alignment horizontal="center" vertical="center"/>
    </xf>
    <xf numFmtId="176" fontId="42" fillId="0" borderId="79" xfId="0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" fillId="9" borderId="0" xfId="0" applyFont="1" applyFill="1" applyAlignment="1">
      <alignment horizontal="right" vertical="center"/>
    </xf>
    <xf numFmtId="0" fontId="0" fillId="9" borderId="0" xfId="0" applyFill="1" applyAlignment="1">
      <alignment horizontal="right" vertical="center"/>
    </xf>
    <xf numFmtId="174" fontId="2" fillId="0" borderId="0" xfId="7" applyNumberFormat="1" applyFont="1" applyFill="1" applyBorder="1" applyAlignment="1" applyProtection="1">
      <alignment horizontal="center" vertical="center"/>
    </xf>
    <xf numFmtId="0" fontId="2" fillId="9" borderId="61" xfId="0" applyFont="1" applyFill="1" applyBorder="1" applyAlignment="1">
      <alignment horizontal="right" vertical="center"/>
    </xf>
    <xf numFmtId="0" fontId="0" fillId="9" borderId="61" xfId="0" applyFill="1" applyBorder="1" applyAlignment="1">
      <alignment horizontal="right" vertical="center"/>
    </xf>
    <xf numFmtId="174" fontId="2" fillId="10" borderId="61" xfId="7" applyNumberFormat="1" applyFont="1" applyFill="1" applyBorder="1" applyAlignment="1" applyProtection="1">
      <alignment horizontal="center" vertical="center"/>
      <protection locked="0"/>
    </xf>
    <xf numFmtId="0" fontId="18" fillId="10" borderId="61" xfId="0" applyFont="1" applyFill="1" applyBorder="1" applyAlignment="1" applyProtection="1">
      <alignment horizontal="left" vertical="top" wrapText="1"/>
      <protection locked="0"/>
    </xf>
    <xf numFmtId="0" fontId="2" fillId="8" borderId="0" xfId="0" applyFont="1" applyFill="1" applyAlignment="1">
      <alignment horizontal="right" vertical="center"/>
    </xf>
    <xf numFmtId="174" fontId="18" fillId="8" borderId="0" xfId="7" applyNumberFormat="1" applyFont="1" applyFill="1" applyBorder="1" applyAlignment="1" applyProtection="1">
      <alignment horizontal="center" vertical="center"/>
    </xf>
    <xf numFmtId="0" fontId="50" fillId="8" borderId="112" xfId="0" applyFont="1" applyFill="1" applyBorder="1" applyAlignment="1">
      <alignment horizontal="center" vertical="center"/>
    </xf>
    <xf numFmtId="0" fontId="50" fillId="8" borderId="0" xfId="0" applyFont="1" applyFill="1" applyAlignment="1">
      <alignment horizontal="center" vertical="center"/>
    </xf>
    <xf numFmtId="0" fontId="56" fillId="8" borderId="113" xfId="0" applyFont="1" applyFill="1" applyBorder="1" applyAlignment="1">
      <alignment horizontal="center" vertical="center"/>
    </xf>
    <xf numFmtId="0" fontId="56" fillId="8" borderId="112" xfId="0" applyFont="1" applyFill="1" applyBorder="1" applyAlignment="1">
      <alignment horizontal="center" vertical="center"/>
    </xf>
    <xf numFmtId="0" fontId="6" fillId="0" borderId="0" xfId="1" applyAlignment="1" applyProtection="1">
      <alignment horizontal="center" vertical="center"/>
      <protection locked="0"/>
    </xf>
    <xf numFmtId="174" fontId="0" fillId="0" borderId="67" xfId="7" applyNumberFormat="1" applyFont="1" applyBorder="1" applyAlignment="1" applyProtection="1">
      <alignment horizontal="center" vertical="center"/>
    </xf>
    <xf numFmtId="174" fontId="0" fillId="0" borderId="68" xfId="7" applyNumberFormat="1" applyFont="1" applyBorder="1" applyAlignment="1" applyProtection="1">
      <alignment horizontal="center" vertical="center"/>
    </xf>
    <xf numFmtId="0" fontId="18" fillId="10" borderId="0" xfId="0" applyFont="1" applyFill="1" applyAlignment="1" applyProtection="1">
      <alignment horizontal="left" vertical="center" wrapText="1"/>
      <protection locked="0"/>
    </xf>
    <xf numFmtId="0" fontId="40" fillId="6" borderId="60" xfId="0" applyFont="1" applyFill="1" applyBorder="1" applyAlignment="1">
      <alignment horizontal="center" vertical="center" wrapText="1"/>
    </xf>
    <xf numFmtId="0" fontId="40" fillId="6" borderId="60" xfId="0" applyFont="1" applyFill="1" applyBorder="1" applyAlignment="1">
      <alignment horizontal="center" vertical="center"/>
    </xf>
    <xf numFmtId="0" fontId="0" fillId="0" borderId="67" xfId="0" applyBorder="1" applyAlignment="1">
      <alignment horizontal="left" vertical="center"/>
    </xf>
    <xf numFmtId="0" fontId="0" fillId="0" borderId="68" xfId="0" applyBorder="1" applyAlignment="1">
      <alignment horizontal="left" vertical="center"/>
    </xf>
    <xf numFmtId="0" fontId="18" fillId="0" borderId="60" xfId="0" applyFont="1" applyBorder="1" applyAlignment="1">
      <alignment horizontal="center" vertical="center"/>
    </xf>
    <xf numFmtId="0" fontId="19" fillId="10" borderId="0" xfId="0" applyFont="1" applyFill="1" applyAlignment="1" applyProtection="1">
      <alignment horizontal="left" vertical="center"/>
      <protection locked="0"/>
    </xf>
    <xf numFmtId="4" fontId="18" fillId="10" borderId="0" xfId="0" applyNumberFormat="1" applyFont="1" applyFill="1" applyAlignment="1" applyProtection="1">
      <alignment horizontal="left" vertical="center"/>
      <protection locked="0"/>
    </xf>
    <xf numFmtId="0" fontId="6" fillId="0" borderId="0" xfId="1" applyAlignment="1" applyProtection="1">
      <alignment horizontal="left"/>
      <protection locked="0"/>
    </xf>
    <xf numFmtId="0" fontId="37" fillId="0" borderId="0" xfId="0" applyFont="1" applyAlignment="1">
      <alignment horizontal="right" vertical="top"/>
    </xf>
    <xf numFmtId="0" fontId="6" fillId="0" borderId="0" xfId="1" applyBorder="1" applyAlignment="1" applyProtection="1">
      <alignment horizontal="left" vertical="top"/>
      <protection locked="0"/>
    </xf>
    <xf numFmtId="0" fontId="18" fillId="7" borderId="58" xfId="0" applyFont="1" applyFill="1" applyBorder="1" applyAlignment="1">
      <alignment horizontal="center" vertical="center"/>
    </xf>
    <xf numFmtId="0" fontId="18" fillId="7" borderId="59" xfId="0" applyFont="1" applyFill="1" applyBorder="1" applyAlignment="1">
      <alignment horizontal="center" vertical="center"/>
    </xf>
    <xf numFmtId="0" fontId="18" fillId="0" borderId="0" xfId="0" applyFont="1" applyAlignment="1">
      <alignment horizontal="right" vertical="center" wrapText="1"/>
    </xf>
    <xf numFmtId="173" fontId="18" fillId="10" borderId="0" xfId="0" applyNumberFormat="1" applyFont="1" applyFill="1" applyAlignment="1" applyProtection="1">
      <alignment horizontal="center" vertical="center" wrapText="1"/>
      <protection locked="0"/>
    </xf>
    <xf numFmtId="1" fontId="18" fillId="10" borderId="0" xfId="0" applyNumberFormat="1" applyFont="1" applyFill="1" applyAlignment="1" applyProtection="1">
      <alignment horizontal="left" vertical="center"/>
      <protection locked="0"/>
    </xf>
    <xf numFmtId="0" fontId="18" fillId="12" borderId="0" xfId="0" applyFont="1" applyFill="1" applyAlignment="1">
      <alignment horizontal="left" vertical="center"/>
    </xf>
    <xf numFmtId="0" fontId="18" fillId="0" borderId="0" xfId="0" applyFont="1" applyAlignment="1">
      <alignment horizontal="center" vertical="center" wrapText="1"/>
    </xf>
    <xf numFmtId="173" fontId="18" fillId="10" borderId="0" xfId="0" applyNumberFormat="1" applyFont="1" applyFill="1" applyAlignment="1" applyProtection="1">
      <alignment horizontal="left" vertical="center" wrapText="1"/>
      <protection locked="0"/>
    </xf>
    <xf numFmtId="0" fontId="0" fillId="0" borderId="0" xfId="0" applyAlignment="1">
      <alignment horizontal="center" vertical="center" wrapText="1"/>
    </xf>
    <xf numFmtId="0" fontId="35" fillId="0" borderId="0" xfId="0" applyFont="1" applyAlignment="1">
      <alignment horizontal="right" wrapText="1"/>
    </xf>
    <xf numFmtId="0" fontId="6" fillId="0" borderId="0" xfId="1" applyProtection="1">
      <protection locked="0"/>
    </xf>
    <xf numFmtId="0" fontId="30" fillId="0" borderId="52" xfId="0" applyFont="1" applyBorder="1" applyAlignment="1">
      <alignment horizontal="center" vertical="center"/>
    </xf>
    <xf numFmtId="0" fontId="30" fillId="0" borderId="53" xfId="0" applyFont="1" applyBorder="1" applyAlignment="1">
      <alignment horizontal="center" vertical="center"/>
    </xf>
    <xf numFmtId="0" fontId="18" fillId="10" borderId="53" xfId="0" applyFont="1" applyFill="1" applyBorder="1" applyAlignment="1" applyProtection="1">
      <alignment horizontal="center" vertical="center"/>
      <protection locked="0"/>
    </xf>
    <xf numFmtId="14" fontId="18" fillId="10" borderId="55" xfId="0" applyNumberFormat="1" applyFont="1" applyFill="1" applyBorder="1" applyAlignment="1" applyProtection="1">
      <alignment horizontal="center" vertical="center"/>
      <protection locked="0"/>
    </xf>
    <xf numFmtId="14" fontId="18" fillId="10" borderId="56" xfId="0" applyNumberFormat="1" applyFont="1" applyFill="1" applyBorder="1" applyAlignment="1" applyProtection="1">
      <alignment horizontal="center" vertical="center"/>
      <protection locked="0"/>
    </xf>
    <xf numFmtId="0" fontId="18" fillId="0" borderId="0" xfId="0" applyFont="1" applyAlignment="1">
      <alignment horizontal="center" wrapText="1"/>
    </xf>
    <xf numFmtId="0" fontId="30" fillId="0" borderId="57" xfId="0" applyFont="1" applyBorder="1" applyAlignment="1">
      <alignment horizontal="center" vertical="center"/>
    </xf>
    <xf numFmtId="0" fontId="30" fillId="0" borderId="58" xfId="0" applyFont="1" applyBorder="1" applyAlignment="1">
      <alignment horizontal="center" vertical="center"/>
    </xf>
    <xf numFmtId="0" fontId="18" fillId="10" borderId="58" xfId="0" applyFont="1" applyFill="1" applyBorder="1" applyAlignment="1" applyProtection="1">
      <alignment horizontal="left" vertical="center"/>
      <protection locked="0"/>
    </xf>
    <xf numFmtId="0" fontId="18" fillId="10" borderId="58" xfId="0" applyFont="1" applyFill="1" applyBorder="1" applyAlignment="1" applyProtection="1">
      <alignment horizontal="center" vertical="center"/>
      <protection locked="0"/>
    </xf>
    <xf numFmtId="0" fontId="28" fillId="0" borderId="0" xfId="0" applyFont="1" applyAlignment="1">
      <alignment horizontal="center"/>
    </xf>
    <xf numFmtId="0" fontId="53" fillId="0" borderId="41" xfId="0" applyFont="1" applyBorder="1" applyAlignment="1">
      <alignment horizontal="center" vertical="center"/>
    </xf>
    <xf numFmtId="0" fontId="53" fillId="0" borderId="42" xfId="0" applyFont="1" applyBorder="1" applyAlignment="1">
      <alignment horizontal="center" vertical="center"/>
    </xf>
    <xf numFmtId="0" fontId="53" fillId="0" borderId="43" xfId="0" applyFont="1" applyBorder="1" applyAlignment="1">
      <alignment horizontal="center" vertical="center"/>
    </xf>
    <xf numFmtId="49" fontId="18" fillId="0" borderId="44" xfId="0" applyNumberFormat="1" applyFont="1" applyBorder="1" applyAlignment="1">
      <alignment horizontal="center" vertical="center"/>
    </xf>
    <xf numFmtId="49" fontId="18" fillId="0" borderId="45" xfId="0" applyNumberFormat="1" applyFont="1" applyBorder="1" applyAlignment="1">
      <alignment horizontal="center" vertical="center"/>
    </xf>
    <xf numFmtId="49" fontId="18" fillId="0" borderId="46" xfId="0" applyNumberFormat="1" applyFont="1" applyBorder="1" applyAlignment="1">
      <alignment horizontal="center" vertical="center"/>
    </xf>
    <xf numFmtId="0" fontId="30" fillId="5" borderId="0" xfId="0" applyFont="1" applyFill="1" applyAlignment="1">
      <alignment horizontal="center"/>
    </xf>
    <xf numFmtId="0" fontId="48" fillId="0" borderId="16" xfId="0" applyFont="1" applyBorder="1" applyAlignment="1">
      <alignment horizontal="center" vertical="center"/>
    </xf>
    <xf numFmtId="0" fontId="48" fillId="10" borderId="4" xfId="0" applyFont="1" applyFill="1" applyBorder="1" applyAlignment="1" applyProtection="1">
      <alignment horizontal="center" vertical="center"/>
      <protection locked="0"/>
    </xf>
    <xf numFmtId="0" fontId="48" fillId="10" borderId="11" xfId="0" applyFont="1" applyFill="1" applyBorder="1" applyAlignment="1" applyProtection="1">
      <alignment horizontal="center" vertical="center"/>
      <protection locked="0"/>
    </xf>
    <xf numFmtId="0" fontId="48" fillId="10" borderId="2" xfId="0" applyFont="1" applyFill="1" applyBorder="1" applyAlignment="1" applyProtection="1">
      <alignment horizontal="center" vertical="center"/>
      <protection locked="0"/>
    </xf>
    <xf numFmtId="176" fontId="48" fillId="10" borderId="4" xfId="0" applyNumberFormat="1" applyFont="1" applyFill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30" fillId="5" borderId="9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 applyProtection="1">
      <alignment vertical="center"/>
      <protection locked="0"/>
    </xf>
    <xf numFmtId="1" fontId="11" fillId="10" borderId="0" xfId="0" applyNumberFormat="1" applyFont="1" applyFill="1" applyAlignment="1" applyProtection="1">
      <alignment horizontal="center" vertical="center"/>
      <protection locked="0"/>
    </xf>
    <xf numFmtId="0" fontId="18" fillId="10" borderId="49" xfId="0" applyFont="1" applyFill="1" applyBorder="1" applyAlignment="1" applyProtection="1">
      <alignment horizontal="center" vertical="center"/>
      <protection locked="0"/>
    </xf>
    <xf numFmtId="0" fontId="18" fillId="7" borderId="50" xfId="0" applyFont="1" applyFill="1" applyBorder="1" applyAlignment="1">
      <alignment horizontal="center" vertical="center"/>
    </xf>
    <xf numFmtId="0" fontId="19" fillId="12" borderId="0" xfId="0" applyFont="1" applyFill="1" applyAlignment="1">
      <alignment horizontal="center" vertical="top"/>
    </xf>
    <xf numFmtId="0" fontId="33" fillId="6" borderId="47" xfId="0" applyFont="1" applyFill="1" applyBorder="1" applyAlignment="1">
      <alignment horizontal="center" vertical="center"/>
    </xf>
    <xf numFmtId="0" fontId="13" fillId="10" borderId="0" xfId="0" applyFont="1" applyFill="1" applyAlignment="1" applyProtection="1">
      <alignment horizontal="left" vertical="center"/>
      <protection locked="0"/>
    </xf>
    <xf numFmtId="0" fontId="0" fillId="10" borderId="0" xfId="0" applyFill="1" applyAlignment="1" applyProtection="1">
      <alignment horizontal="center" vertical="center"/>
      <protection locked="0"/>
    </xf>
    <xf numFmtId="14" fontId="18" fillId="10" borderId="122" xfId="0" applyNumberFormat="1" applyFont="1" applyFill="1" applyBorder="1" applyAlignment="1" applyProtection="1">
      <alignment horizontal="center" vertical="center"/>
      <protection locked="0"/>
    </xf>
    <xf numFmtId="0" fontId="18" fillId="10" borderId="54" xfId="0" applyFont="1" applyFill="1" applyBorder="1" applyAlignment="1" applyProtection="1">
      <alignment horizontal="left" vertical="center"/>
      <protection locked="0"/>
    </xf>
    <xf numFmtId="0" fontId="18" fillId="10" borderId="122" xfId="0" applyFont="1" applyFill="1" applyBorder="1" applyAlignment="1" applyProtection="1">
      <alignment horizontal="left" vertical="center"/>
      <protection locked="0"/>
    </xf>
    <xf numFmtId="0" fontId="18" fillId="10" borderId="54" xfId="0" applyFont="1" applyFill="1" applyBorder="1" applyAlignment="1" applyProtection="1">
      <alignment horizontal="center" vertical="center"/>
      <protection locked="0"/>
    </xf>
    <xf numFmtId="0" fontId="18" fillId="10" borderId="122" xfId="0" applyFont="1" applyFill="1" applyBorder="1" applyAlignment="1" applyProtection="1">
      <alignment horizontal="center" vertical="center"/>
      <protection locked="0"/>
    </xf>
    <xf numFmtId="0" fontId="18" fillId="10" borderId="52" xfId="0" applyFont="1" applyFill="1" applyBorder="1" applyAlignment="1" applyProtection="1">
      <alignment horizontal="center" vertical="center"/>
      <protection locked="0"/>
    </xf>
    <xf numFmtId="0" fontId="49" fillId="0" borderId="0" xfId="0" applyFont="1" applyAlignment="1">
      <alignment horizontal="center" vertical="top" wrapText="1"/>
    </xf>
    <xf numFmtId="14" fontId="13" fillId="10" borderId="0" xfId="0" applyNumberFormat="1" applyFont="1" applyFill="1" applyAlignment="1" applyProtection="1">
      <alignment horizontal="left" vertical="center"/>
      <protection locked="0"/>
    </xf>
    <xf numFmtId="1" fontId="2" fillId="0" borderId="0" xfId="0" applyNumberFormat="1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8" fillId="0" borderId="0" xfId="0" applyFont="1" applyAlignment="1">
      <alignment horizontal="center" vertical="center"/>
    </xf>
    <xf numFmtId="0" fontId="30" fillId="0" borderId="48" xfId="0" applyFont="1" applyBorder="1" applyAlignment="1">
      <alignment horizontal="center" vertical="center"/>
    </xf>
    <xf numFmtId="0" fontId="30" fillId="0" borderId="49" xfId="0" applyFont="1" applyBorder="1" applyAlignment="1">
      <alignment horizontal="center" vertical="center"/>
    </xf>
    <xf numFmtId="14" fontId="18" fillId="10" borderId="52" xfId="0" applyNumberFormat="1" applyFont="1" applyFill="1" applyBorder="1" applyAlignment="1" applyProtection="1">
      <alignment horizontal="center" vertical="center"/>
      <protection locked="0"/>
    </xf>
    <xf numFmtId="0" fontId="32" fillId="0" borderId="35" xfId="0" applyFont="1" applyBorder="1" applyAlignment="1">
      <alignment horizontal="center" vertical="center" wrapText="1"/>
    </xf>
    <xf numFmtId="167" fontId="0" fillId="10" borderId="104" xfId="0" applyNumberFormat="1" applyFill="1" applyBorder="1" applyAlignment="1" applyProtection="1">
      <alignment horizontal="center" vertical="center"/>
      <protection locked="0"/>
    </xf>
    <xf numFmtId="167" fontId="0" fillId="10" borderId="105" xfId="0" applyNumberFormat="1" applyFill="1" applyBorder="1" applyAlignment="1" applyProtection="1">
      <alignment horizontal="center" vertical="center"/>
      <protection locked="0"/>
    </xf>
    <xf numFmtId="167" fontId="0" fillId="10" borderId="107" xfId="0" applyNumberFormat="1" applyFill="1" applyBorder="1" applyAlignment="1" applyProtection="1">
      <alignment horizontal="center" vertical="center"/>
      <protection locked="0"/>
    </xf>
    <xf numFmtId="167" fontId="0" fillId="10" borderId="108" xfId="0" applyNumberFormat="1" applyFill="1" applyBorder="1" applyAlignment="1" applyProtection="1">
      <alignment horizontal="center" vertical="center"/>
      <protection locked="0"/>
    </xf>
    <xf numFmtId="0" fontId="0" fillId="10" borderId="83" xfId="0" applyFill="1" applyBorder="1" applyAlignment="1" applyProtection="1">
      <alignment horizontal="left" vertical="center"/>
      <protection locked="0"/>
    </xf>
    <xf numFmtId="0" fontId="0" fillId="10" borderId="84" xfId="0" applyFill="1" applyBorder="1" applyAlignment="1" applyProtection="1">
      <alignment horizontal="left" vertical="center"/>
      <protection locked="0"/>
    </xf>
    <xf numFmtId="173" fontId="0" fillId="10" borderId="0" xfId="0" applyNumberFormat="1" applyFill="1" applyAlignment="1" applyProtection="1">
      <alignment horizontal="left" vertical="center"/>
      <protection locked="0"/>
    </xf>
    <xf numFmtId="173" fontId="0" fillId="12" borderId="0" xfId="0" applyNumberFormat="1" applyFill="1" applyAlignment="1" applyProtection="1">
      <alignment horizontal="center" vertical="center"/>
      <protection locked="0"/>
    </xf>
    <xf numFmtId="173" fontId="0" fillId="12" borderId="0" xfId="0" applyNumberFormat="1" applyFill="1" applyAlignment="1">
      <alignment horizontal="center" vertical="center"/>
    </xf>
    <xf numFmtId="0" fontId="13" fillId="0" borderId="114" xfId="0" applyFont="1" applyBorder="1" applyAlignment="1">
      <alignment horizontal="left" vertical="center"/>
    </xf>
    <xf numFmtId="0" fontId="0" fillId="0" borderId="0" xfId="0" applyAlignment="1" applyProtection="1">
      <alignment horizontal="left" vertical="center"/>
      <protection locked="0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67" fontId="0" fillId="10" borderId="102" xfId="0" applyNumberFormat="1" applyFill="1" applyBorder="1" applyAlignment="1" applyProtection="1">
      <alignment horizontal="center" vertical="center"/>
      <protection locked="0"/>
    </xf>
    <xf numFmtId="167" fontId="0" fillId="10" borderId="103" xfId="0" applyNumberFormat="1" applyFill="1" applyBorder="1" applyAlignment="1" applyProtection="1">
      <alignment horizontal="center" vertical="center"/>
      <protection locked="0"/>
    </xf>
    <xf numFmtId="0" fontId="13" fillId="10" borderId="104" xfId="0" applyFont="1" applyFill="1" applyBorder="1" applyAlignment="1" applyProtection="1">
      <alignment horizontal="center" vertical="center"/>
      <protection locked="0"/>
    </xf>
    <xf numFmtId="0" fontId="13" fillId="10" borderId="105" xfId="0" applyFont="1" applyFill="1" applyBorder="1" applyAlignment="1" applyProtection="1">
      <alignment horizontal="center" vertical="center"/>
      <protection locked="0"/>
    </xf>
    <xf numFmtId="167" fontId="13" fillId="10" borderId="89" xfId="0" applyNumberFormat="1" applyFont="1" applyFill="1" applyBorder="1" applyAlignment="1" applyProtection="1">
      <alignment horizontal="center" vertical="center"/>
      <protection locked="0"/>
    </xf>
    <xf numFmtId="167" fontId="13" fillId="10" borderId="84" xfId="0" applyNumberFormat="1" applyFont="1" applyFill="1" applyBorder="1" applyAlignment="1" applyProtection="1">
      <alignment horizontal="center" vertical="center"/>
      <protection locked="0"/>
    </xf>
    <xf numFmtId="43" fontId="13" fillId="0" borderId="33" xfId="7" applyFont="1" applyFill="1" applyBorder="1" applyAlignment="1" applyProtection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13" fillId="10" borderId="80" xfId="0" applyFont="1" applyFill="1" applyBorder="1" applyAlignment="1" applyProtection="1">
      <alignment horizontal="left" vertical="center"/>
      <protection locked="0"/>
    </xf>
    <xf numFmtId="0" fontId="13" fillId="10" borderId="81" xfId="0" applyFont="1" applyFill="1" applyBorder="1" applyAlignment="1" applyProtection="1">
      <alignment horizontal="left" vertical="center"/>
      <protection locked="0"/>
    </xf>
    <xf numFmtId="0" fontId="13" fillId="10" borderId="102" xfId="0" applyFont="1" applyFill="1" applyBorder="1" applyAlignment="1" applyProtection="1">
      <alignment horizontal="center" vertical="center"/>
      <protection locked="0"/>
    </xf>
    <xf numFmtId="0" fontId="13" fillId="10" borderId="92" xfId="0" applyFont="1" applyFill="1" applyBorder="1" applyAlignment="1" applyProtection="1">
      <alignment horizontal="center" vertical="center"/>
      <protection locked="0"/>
    </xf>
    <xf numFmtId="22" fontId="0" fillId="0" borderId="17" xfId="0" applyNumberFormat="1" applyBorder="1" applyAlignment="1">
      <alignment horizontal="center" vertical="center"/>
    </xf>
    <xf numFmtId="167" fontId="13" fillId="10" borderId="97" xfId="0" applyNumberFormat="1" applyFont="1" applyFill="1" applyBorder="1" applyAlignment="1" applyProtection="1">
      <alignment horizontal="center" vertical="center"/>
      <protection locked="0"/>
    </xf>
    <xf numFmtId="167" fontId="13" fillId="10" borderId="121" xfId="0" applyNumberFormat="1" applyFont="1" applyFill="1" applyBorder="1" applyAlignment="1" applyProtection="1">
      <alignment horizontal="center" vertical="center"/>
      <protection locked="0"/>
    </xf>
    <xf numFmtId="168" fontId="0" fillId="0" borderId="12" xfId="0" applyNumberFormat="1" applyBorder="1" applyAlignment="1">
      <alignment horizontal="center" vertical="center"/>
    </xf>
    <xf numFmtId="168" fontId="0" fillId="0" borderId="13" xfId="0" applyNumberFormat="1" applyBorder="1" applyAlignment="1">
      <alignment horizontal="center" vertical="center"/>
    </xf>
    <xf numFmtId="0" fontId="13" fillId="10" borderId="83" xfId="0" applyFont="1" applyFill="1" applyBorder="1" applyAlignment="1" applyProtection="1">
      <alignment horizontal="left" vertical="center"/>
      <protection locked="0"/>
    </xf>
    <xf numFmtId="0" fontId="13" fillId="10" borderId="84" xfId="0" applyFont="1" applyFill="1" applyBorder="1" applyAlignment="1" applyProtection="1">
      <alignment horizontal="left" vertical="center"/>
      <protection locked="0"/>
    </xf>
    <xf numFmtId="0" fontId="13" fillId="10" borderId="84" xfId="0" applyFont="1" applyFill="1" applyBorder="1" applyAlignment="1" applyProtection="1">
      <alignment horizontal="center" vertical="center"/>
      <protection locked="0"/>
    </xf>
    <xf numFmtId="0" fontId="51" fillId="0" borderId="1" xfId="0" applyFont="1" applyBorder="1" applyAlignment="1">
      <alignment horizontal="center" vertical="center"/>
    </xf>
    <xf numFmtId="0" fontId="51" fillId="0" borderId="3" xfId="0" applyFont="1" applyBorder="1" applyAlignment="1">
      <alignment horizontal="center" vertical="center"/>
    </xf>
    <xf numFmtId="0" fontId="51" fillId="0" borderId="5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176" fontId="13" fillId="0" borderId="35" xfId="0" applyNumberFormat="1" applyFont="1" applyBorder="1" applyAlignment="1">
      <alignment horizontal="center" vertical="center"/>
    </xf>
    <xf numFmtId="14" fontId="39" fillId="0" borderId="8" xfId="0" applyNumberFormat="1" applyFont="1" applyBorder="1" applyAlignment="1">
      <alignment horizontal="center" vertical="center"/>
    </xf>
    <xf numFmtId="0" fontId="39" fillId="0" borderId="9" xfId="0" applyFont="1" applyBorder="1" applyAlignment="1">
      <alignment horizontal="center" vertical="center"/>
    </xf>
    <xf numFmtId="0" fontId="39" fillId="0" borderId="10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" fillId="0" borderId="0" xfId="0" applyFont="1" applyAlignment="1" applyProtection="1">
      <alignment horizontal="center" vertical="top"/>
      <protection locked="0"/>
    </xf>
    <xf numFmtId="0" fontId="2" fillId="0" borderId="7" xfId="0" applyFont="1" applyBorder="1" applyAlignment="1" applyProtection="1">
      <alignment horizontal="center" vertical="top"/>
      <protection locked="0"/>
    </xf>
    <xf numFmtId="0" fontId="2" fillId="0" borderId="9" xfId="0" applyFont="1" applyBorder="1" applyAlignment="1" applyProtection="1">
      <alignment horizontal="center" vertical="top"/>
      <protection locked="0"/>
    </xf>
    <xf numFmtId="0" fontId="2" fillId="0" borderId="10" xfId="0" applyFont="1" applyBorder="1" applyAlignment="1" applyProtection="1">
      <alignment horizontal="center" vertical="top"/>
      <protection locked="0"/>
    </xf>
    <xf numFmtId="0" fontId="52" fillId="0" borderId="6" xfId="1" applyFont="1" applyBorder="1" applyAlignment="1" applyProtection="1">
      <alignment horizontal="left" vertical="center"/>
      <protection locked="0"/>
    </xf>
    <xf numFmtId="0" fontId="52" fillId="0" borderId="0" xfId="1" applyFont="1" applyBorder="1" applyAlignment="1" applyProtection="1">
      <alignment horizontal="left" vertical="center"/>
      <protection locked="0"/>
    </xf>
    <xf numFmtId="0" fontId="2" fillId="0" borderId="16" xfId="0" applyFont="1" applyBorder="1" applyAlignment="1">
      <alignment horizontal="center" vertical="center" wrapText="1"/>
    </xf>
    <xf numFmtId="0" fontId="2" fillId="0" borderId="12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7" fontId="0" fillId="10" borderId="0" xfId="0" applyNumberFormat="1" applyFill="1" applyAlignment="1" applyProtection="1">
      <alignment horizontal="center" vertical="center"/>
      <protection locked="0"/>
    </xf>
    <xf numFmtId="167" fontId="0" fillId="10" borderId="97" xfId="0" applyNumberFormat="1" applyFill="1" applyBorder="1" applyAlignment="1" applyProtection="1">
      <alignment horizontal="center" vertical="center"/>
      <protection locked="0"/>
    </xf>
    <xf numFmtId="0" fontId="13" fillId="0" borderId="18" xfId="0" applyFont="1" applyBorder="1" applyAlignment="1">
      <alignment horizontal="left" vertical="center"/>
    </xf>
    <xf numFmtId="0" fontId="11" fillId="0" borderId="4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" fontId="13" fillId="0" borderId="116" xfId="0" applyNumberFormat="1" applyFont="1" applyBorder="1" applyAlignment="1">
      <alignment horizontal="left" vertical="center"/>
    </xf>
    <xf numFmtId="1" fontId="13" fillId="0" borderId="117" xfId="0" applyNumberFormat="1" applyFont="1" applyBorder="1" applyAlignment="1">
      <alignment horizontal="left" vertical="center"/>
    </xf>
    <xf numFmtId="1" fontId="13" fillId="0" borderId="118" xfId="0" applyNumberFormat="1" applyFont="1" applyBorder="1" applyAlignment="1">
      <alignment horizontal="left" vertical="center"/>
    </xf>
    <xf numFmtId="43" fontId="13" fillId="0" borderId="27" xfId="7" applyFont="1" applyFill="1" applyBorder="1" applyAlignment="1" applyProtection="1">
      <alignment horizontal="center" vertical="center"/>
    </xf>
    <xf numFmtId="43" fontId="13" fillId="0" borderId="29" xfId="7" applyFont="1" applyFill="1" applyBorder="1" applyAlignment="1" applyProtection="1">
      <alignment horizontal="center" vertical="center"/>
    </xf>
    <xf numFmtId="0" fontId="13" fillId="10" borderId="86" xfId="0" applyFont="1" applyFill="1" applyBorder="1" applyAlignment="1" applyProtection="1">
      <alignment horizontal="left" vertical="center"/>
      <protection locked="0"/>
    </xf>
    <xf numFmtId="0" fontId="13" fillId="10" borderId="87" xfId="0" applyFont="1" applyFill="1" applyBorder="1" applyAlignment="1" applyProtection="1">
      <alignment horizontal="left" vertical="center"/>
      <protection locked="0"/>
    </xf>
    <xf numFmtId="0" fontId="13" fillId="10" borderId="98" xfId="0" applyFont="1" applyFill="1" applyBorder="1" applyAlignment="1" applyProtection="1">
      <alignment horizontal="center" vertical="center"/>
      <protection locked="0"/>
    </xf>
    <xf numFmtId="167" fontId="13" fillId="10" borderId="98" xfId="0" applyNumberFormat="1" applyFont="1" applyFill="1" applyBorder="1" applyAlignment="1" applyProtection="1">
      <alignment horizontal="center" vertical="center"/>
      <protection locked="0"/>
    </xf>
    <xf numFmtId="0" fontId="0" fillId="0" borderId="17" xfId="0" applyBorder="1" applyAlignment="1">
      <alignment horizontal="center" vertical="center"/>
    </xf>
    <xf numFmtId="43" fontId="13" fillId="0" borderId="4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67" fontId="13" fillId="10" borderId="87" xfId="0" applyNumberFormat="1" applyFont="1" applyFill="1" applyBorder="1" applyAlignment="1" applyProtection="1">
      <alignment horizontal="center" vertical="center"/>
      <protection locked="0"/>
    </xf>
    <xf numFmtId="43" fontId="13" fillId="0" borderId="30" xfId="7" applyFont="1" applyFill="1" applyBorder="1" applyAlignment="1" applyProtection="1">
      <alignment horizontal="center" vertical="center"/>
    </xf>
    <xf numFmtId="43" fontId="13" fillId="0" borderId="32" xfId="7" applyFont="1" applyFill="1" applyBorder="1" applyAlignment="1" applyProtection="1">
      <alignment horizontal="center" vertical="center"/>
    </xf>
    <xf numFmtId="4" fontId="0" fillId="10" borderId="87" xfId="0" applyNumberFormat="1" applyFill="1" applyBorder="1" applyAlignment="1" applyProtection="1">
      <alignment horizontal="center" vertical="center"/>
      <protection locked="0"/>
    </xf>
    <xf numFmtId="1" fontId="0" fillId="10" borderId="87" xfId="0" applyNumberFormat="1" applyFill="1" applyBorder="1" applyAlignment="1" applyProtection="1">
      <alignment horizontal="center" vertical="center"/>
      <protection locked="0"/>
    </xf>
    <xf numFmtId="1" fontId="0" fillId="10" borderId="88" xfId="0" applyNumberFormat="1" applyFill="1" applyBorder="1" applyAlignment="1" applyProtection="1">
      <alignment horizontal="center" vertical="center"/>
      <protection locked="0"/>
    </xf>
    <xf numFmtId="40" fontId="0" fillId="0" borderId="27" xfId="0" applyNumberFormat="1" applyBorder="1" applyAlignment="1">
      <alignment vertical="center"/>
    </xf>
    <xf numFmtId="40" fontId="0" fillId="0" borderId="28" xfId="0" applyNumberFormat="1" applyBorder="1" applyAlignment="1">
      <alignment vertical="center"/>
    </xf>
    <xf numFmtId="40" fontId="0" fillId="0" borderId="29" xfId="0" applyNumberFormat="1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" fontId="0" fillId="10" borderId="90" xfId="0" applyNumberFormat="1" applyFill="1" applyBorder="1" applyAlignment="1" applyProtection="1">
      <alignment horizontal="center" vertical="center"/>
      <protection locked="0"/>
    </xf>
    <xf numFmtId="1" fontId="0" fillId="10" borderId="96" xfId="0" applyNumberFormat="1" applyFill="1" applyBorder="1" applyAlignment="1" applyProtection="1">
      <alignment horizontal="center" vertical="center"/>
      <protection locked="0"/>
    </xf>
    <xf numFmtId="40" fontId="68" fillId="13" borderId="4" xfId="0" applyNumberFormat="1" applyFont="1" applyFill="1" applyBorder="1" applyAlignment="1">
      <alignment horizontal="right" vertical="center"/>
    </xf>
    <xf numFmtId="4" fontId="68" fillId="13" borderId="2" xfId="0" applyNumberFormat="1" applyFont="1" applyFill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4" fontId="0" fillId="10" borderId="81" xfId="0" applyNumberFormat="1" applyFill="1" applyBorder="1" applyAlignment="1" applyProtection="1">
      <alignment horizontal="center" vertical="center"/>
      <protection locked="0"/>
    </xf>
    <xf numFmtId="1" fontId="0" fillId="10" borderId="81" xfId="0" applyNumberFormat="1" applyFill="1" applyBorder="1" applyAlignment="1" applyProtection="1">
      <alignment horizontal="center" vertical="center"/>
      <protection locked="0"/>
    </xf>
    <xf numFmtId="1" fontId="0" fillId="10" borderId="82" xfId="0" applyNumberFormat="1" applyFill="1" applyBorder="1" applyAlignment="1" applyProtection="1">
      <alignment horizontal="center" vertical="center"/>
      <protection locked="0"/>
    </xf>
    <xf numFmtId="40" fontId="0" fillId="0" borderId="24" xfId="0" applyNumberFormat="1" applyBorder="1" applyAlignment="1">
      <alignment vertical="center"/>
    </xf>
    <xf numFmtId="40" fontId="0" fillId="0" borderId="25" xfId="0" applyNumberFormat="1" applyBorder="1" applyAlignment="1">
      <alignment vertical="center"/>
    </xf>
    <xf numFmtId="40" fontId="0" fillId="0" borderId="26" xfId="0" applyNumberFormat="1" applyBorder="1" applyAlignment="1">
      <alignment vertical="center"/>
    </xf>
    <xf numFmtId="0" fontId="40" fillId="13" borderId="16" xfId="0" applyFont="1" applyFill="1" applyBorder="1" applyAlignment="1">
      <alignment horizontal="center" vertical="center" wrapText="1"/>
    </xf>
    <xf numFmtId="0" fontId="0" fillId="10" borderId="80" xfId="0" applyFill="1" applyBorder="1" applyAlignment="1" applyProtection="1">
      <alignment horizontal="left" vertical="center"/>
      <protection locked="0"/>
    </xf>
    <xf numFmtId="0" fontId="0" fillId="10" borderId="81" xfId="0" applyFill="1" applyBorder="1" applyAlignment="1" applyProtection="1">
      <alignment horizontal="left" vertical="center"/>
      <protection locked="0"/>
    </xf>
    <xf numFmtId="167" fontId="0" fillId="10" borderId="81" xfId="0" applyNumberFormat="1" applyFill="1" applyBorder="1" applyAlignment="1" applyProtection="1">
      <alignment horizontal="center" vertical="center"/>
      <protection locked="0"/>
    </xf>
    <xf numFmtId="0" fontId="0" fillId="10" borderId="81" xfId="0" applyFill="1" applyBorder="1" applyAlignment="1" applyProtection="1">
      <alignment horizontal="center" vertical="center"/>
      <protection locked="0"/>
    </xf>
    <xf numFmtId="171" fontId="0" fillId="10" borderId="81" xfId="0" applyNumberFormat="1" applyFill="1" applyBorder="1" applyAlignment="1" applyProtection="1">
      <alignment horizontal="center" vertical="center"/>
      <protection locked="0"/>
    </xf>
    <xf numFmtId="171" fontId="0" fillId="10" borderId="82" xfId="0" applyNumberFormat="1" applyFill="1" applyBorder="1" applyAlignment="1" applyProtection="1">
      <alignment horizontal="center" vertical="center"/>
      <protection locked="0"/>
    </xf>
    <xf numFmtId="40" fontId="0" fillId="0" borderId="19" xfId="0" applyNumberFormat="1" applyBorder="1" applyAlignment="1">
      <alignment horizontal="righ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1" fontId="0" fillId="10" borderId="91" xfId="0" applyNumberFormat="1" applyFill="1" applyBorder="1" applyAlignment="1" applyProtection="1">
      <alignment horizontal="center" vertical="center"/>
      <protection locked="0"/>
    </xf>
    <xf numFmtId="40" fontId="0" fillId="0" borderId="30" xfId="0" applyNumberFormat="1" applyBorder="1" applyAlignment="1">
      <alignment vertical="center"/>
    </xf>
    <xf numFmtId="40" fontId="0" fillId="0" borderId="31" xfId="0" applyNumberFormat="1" applyBorder="1" applyAlignment="1">
      <alignment vertical="center"/>
    </xf>
    <xf numFmtId="40" fontId="0" fillId="0" borderId="32" xfId="0" applyNumberFormat="1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40" fillId="13" borderId="4" xfId="0" applyFont="1" applyFill="1" applyBorder="1" applyAlignment="1">
      <alignment horizontal="center" vertical="center" wrapText="1"/>
    </xf>
    <xf numFmtId="0" fontId="40" fillId="13" borderId="11" xfId="0" applyFont="1" applyFill="1" applyBorder="1" applyAlignment="1">
      <alignment horizontal="center" vertical="center" wrapText="1"/>
    </xf>
    <xf numFmtId="0" fontId="40" fillId="13" borderId="2" xfId="0" applyFont="1" applyFill="1" applyBorder="1" applyAlignment="1">
      <alignment horizontal="center" vertical="center" wrapText="1"/>
    </xf>
    <xf numFmtId="171" fontId="0" fillId="10" borderId="84" xfId="0" applyNumberFormat="1" applyFill="1" applyBorder="1" applyAlignment="1" applyProtection="1">
      <alignment horizontal="center" vertical="center"/>
      <protection locked="0"/>
    </xf>
    <xf numFmtId="171" fontId="0" fillId="10" borderId="85" xfId="0" applyNumberFormat="1" applyFill="1" applyBorder="1" applyAlignment="1" applyProtection="1">
      <alignment horizontal="center" vertical="center"/>
      <protection locked="0"/>
    </xf>
    <xf numFmtId="40" fontId="0" fillId="0" borderId="20" xfId="0" applyNumberFormat="1" applyBorder="1" applyAlignment="1">
      <alignment horizontal="right" vertical="center"/>
    </xf>
    <xf numFmtId="167" fontId="0" fillId="10" borderId="84" xfId="0" applyNumberFormat="1" applyFill="1" applyBorder="1" applyAlignment="1" applyProtection="1">
      <alignment horizontal="center" vertical="center"/>
      <protection locked="0"/>
    </xf>
    <xf numFmtId="0" fontId="0" fillId="10" borderId="84" xfId="0" applyFill="1" applyBorder="1" applyAlignment="1" applyProtection="1">
      <alignment horizontal="center" vertical="center"/>
      <protection locked="0"/>
    </xf>
    <xf numFmtId="4" fontId="0" fillId="10" borderId="84" xfId="0" applyNumberFormat="1" applyFill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left" vertical="center"/>
    </xf>
    <xf numFmtId="0" fontId="0" fillId="10" borderId="80" xfId="0" applyFill="1" applyBorder="1" applyAlignment="1" applyProtection="1">
      <alignment horizontal="center" vertical="center" wrapText="1"/>
      <protection locked="0"/>
    </xf>
    <xf numFmtId="0" fontId="0" fillId="10" borderId="81" xfId="0" applyFill="1" applyBorder="1" applyAlignment="1" applyProtection="1">
      <alignment horizontal="center" vertical="center" wrapText="1"/>
      <protection locked="0"/>
    </xf>
    <xf numFmtId="0" fontId="0" fillId="10" borderId="86" xfId="0" applyFill="1" applyBorder="1" applyAlignment="1" applyProtection="1">
      <alignment horizontal="center" vertical="center" wrapText="1"/>
      <protection locked="0"/>
    </xf>
    <xf numFmtId="0" fontId="0" fillId="10" borderId="87" xfId="0" applyFill="1" applyBorder="1" applyAlignment="1" applyProtection="1">
      <alignment horizontal="center" vertical="center" wrapText="1"/>
      <protection locked="0"/>
    </xf>
    <xf numFmtId="0" fontId="48" fillId="0" borderId="4" xfId="0" applyFont="1" applyBorder="1" applyAlignment="1">
      <alignment horizontal="left" vertical="center" wrapText="1"/>
    </xf>
    <xf numFmtId="0" fontId="48" fillId="0" borderId="11" xfId="0" applyFont="1" applyBorder="1" applyAlignment="1">
      <alignment horizontal="left" vertical="center" wrapText="1"/>
    </xf>
    <xf numFmtId="0" fontId="48" fillId="0" borderId="2" xfId="0" applyFont="1" applyBorder="1" applyAlignment="1">
      <alignment horizontal="left" vertical="center" wrapText="1"/>
    </xf>
    <xf numFmtId="0" fontId="48" fillId="0" borderId="4" xfId="0" applyFont="1" applyBorder="1" applyAlignment="1">
      <alignment horizontal="center" vertical="center" wrapText="1"/>
    </xf>
    <xf numFmtId="0" fontId="48" fillId="0" borderId="11" xfId="0" applyFont="1" applyBorder="1" applyAlignment="1">
      <alignment horizontal="center" vertical="center" wrapText="1"/>
    </xf>
    <xf numFmtId="0" fontId="48" fillId="0" borderId="2" xfId="0" applyFont="1" applyBorder="1" applyAlignment="1">
      <alignment horizontal="center" vertical="center" wrapText="1"/>
    </xf>
    <xf numFmtId="0" fontId="48" fillId="0" borderId="4" xfId="0" applyFont="1" applyBorder="1" applyAlignment="1">
      <alignment horizontal="center" vertical="center"/>
    </xf>
    <xf numFmtId="0" fontId="48" fillId="0" borderId="2" xfId="0" applyFont="1" applyBorder="1" applyAlignment="1">
      <alignment horizontal="center" vertical="center"/>
    </xf>
    <xf numFmtId="0" fontId="0" fillId="10" borderId="1" xfId="0" applyFill="1" applyBorder="1" applyAlignment="1" applyProtection="1">
      <alignment horizontal="left" vertical="top" wrapText="1"/>
      <protection locked="0"/>
    </xf>
    <xf numFmtId="0" fontId="0" fillId="10" borderId="3" xfId="0" applyFill="1" applyBorder="1" applyAlignment="1" applyProtection="1">
      <alignment horizontal="left" vertical="top" wrapText="1"/>
      <protection locked="0"/>
    </xf>
    <xf numFmtId="0" fontId="0" fillId="10" borderId="5" xfId="0" applyFill="1" applyBorder="1" applyAlignment="1" applyProtection="1">
      <alignment horizontal="left" vertical="top" wrapText="1"/>
      <protection locked="0"/>
    </xf>
    <xf numFmtId="0" fontId="0" fillId="10" borderId="8" xfId="0" applyFill="1" applyBorder="1" applyAlignment="1" applyProtection="1">
      <alignment horizontal="left" vertical="top" wrapText="1"/>
      <protection locked="0"/>
    </xf>
    <xf numFmtId="0" fontId="0" fillId="10" borderId="9" xfId="0" applyFill="1" applyBorder="1" applyAlignment="1" applyProtection="1">
      <alignment horizontal="left" vertical="top" wrapText="1"/>
      <protection locked="0"/>
    </xf>
    <xf numFmtId="0" fontId="0" fillId="10" borderId="10" xfId="0" applyFill="1" applyBorder="1" applyAlignment="1" applyProtection="1">
      <alignment horizontal="left" vertical="top" wrapText="1"/>
      <protection locked="0"/>
    </xf>
    <xf numFmtId="0" fontId="0" fillId="0" borderId="19" xfId="0" applyBorder="1" applyAlignment="1">
      <alignment horizontal="center" vertical="center"/>
    </xf>
    <xf numFmtId="1" fontId="0" fillId="10" borderId="90" xfId="0" quotePrefix="1" applyNumberFormat="1" applyFill="1" applyBorder="1" applyAlignment="1" applyProtection="1">
      <alignment horizontal="center" vertical="center"/>
      <protection locked="0"/>
    </xf>
    <xf numFmtId="0" fontId="0" fillId="0" borderId="14" xfId="0" applyBorder="1" applyAlignment="1">
      <alignment horizontal="center" vertical="center"/>
    </xf>
    <xf numFmtId="1" fontId="0" fillId="10" borderId="91" xfId="0" quotePrefix="1" applyNumberFormat="1" applyFill="1" applyBorder="1" applyAlignment="1" applyProtection="1">
      <alignment horizontal="center" vertical="center"/>
      <protection locked="0"/>
    </xf>
    <xf numFmtId="0" fontId="0" fillId="10" borderId="99" xfId="0" applyFill="1" applyBorder="1" applyAlignment="1" applyProtection="1">
      <alignment horizontal="left" vertical="center"/>
      <protection locked="0"/>
    </xf>
    <xf numFmtId="0" fontId="0" fillId="10" borderId="89" xfId="0" applyFill="1" applyBorder="1" applyAlignment="1" applyProtection="1">
      <alignment horizontal="left" vertical="center"/>
      <protection locked="0"/>
    </xf>
    <xf numFmtId="167" fontId="0" fillId="10" borderId="89" xfId="0" applyNumberFormat="1" applyFill="1" applyBorder="1" applyAlignment="1" applyProtection="1">
      <alignment horizontal="center" vertical="center"/>
      <protection locked="0"/>
    </xf>
    <xf numFmtId="0" fontId="0" fillId="10" borderId="89" xfId="0" applyFill="1" applyBorder="1" applyAlignment="1" applyProtection="1">
      <alignment horizontal="center" vertical="center"/>
      <protection locked="0"/>
    </xf>
    <xf numFmtId="4" fontId="0" fillId="10" borderId="89" xfId="0" applyNumberFormat="1" applyFill="1" applyBorder="1" applyAlignment="1" applyProtection="1">
      <alignment horizontal="center" vertical="center"/>
      <protection locked="0"/>
    </xf>
    <xf numFmtId="171" fontId="0" fillId="10" borderId="89" xfId="0" applyNumberFormat="1" applyFill="1" applyBorder="1" applyAlignment="1" applyProtection="1">
      <alignment horizontal="center" vertical="center"/>
      <protection locked="0"/>
    </xf>
    <xf numFmtId="171" fontId="0" fillId="10" borderId="100" xfId="0" applyNumberFormat="1" applyFill="1" applyBorder="1" applyAlignment="1" applyProtection="1">
      <alignment horizontal="center" vertical="center"/>
      <protection locked="0"/>
    </xf>
    <xf numFmtId="0" fontId="40" fillId="13" borderId="4" xfId="0" applyFont="1" applyFill="1" applyBorder="1" applyAlignment="1">
      <alignment horizontal="left" vertical="center"/>
    </xf>
    <xf numFmtId="0" fontId="40" fillId="13" borderId="11" xfId="0" applyFont="1" applyFill="1" applyBorder="1" applyAlignment="1">
      <alignment horizontal="left" vertical="center"/>
    </xf>
    <xf numFmtId="0" fontId="40" fillId="13" borderId="2" xfId="0" applyFont="1" applyFill="1" applyBorder="1" applyAlignment="1">
      <alignment horizontal="left" vertical="center"/>
    </xf>
    <xf numFmtId="0" fontId="40" fillId="13" borderId="16" xfId="0" applyFont="1" applyFill="1" applyBorder="1" applyAlignment="1">
      <alignment horizontal="center" vertical="center"/>
    </xf>
    <xf numFmtId="2" fontId="0" fillId="10" borderId="89" xfId="0" applyNumberFormat="1" applyFill="1" applyBorder="1" applyAlignment="1" applyProtection="1">
      <alignment horizontal="center" vertical="center"/>
      <protection locked="0"/>
    </xf>
    <xf numFmtId="2" fontId="0" fillId="10" borderId="81" xfId="0" applyNumberFormat="1" applyFill="1" applyBorder="1" applyAlignment="1" applyProtection="1">
      <alignment horizontal="center" vertical="center"/>
      <protection locked="0"/>
    </xf>
    <xf numFmtId="172" fontId="0" fillId="10" borderId="81" xfId="0" applyNumberFormat="1" applyFill="1" applyBorder="1" applyAlignment="1" applyProtection="1">
      <alignment horizontal="center" vertical="center"/>
      <protection locked="0"/>
    </xf>
    <xf numFmtId="172" fontId="0" fillId="10" borderId="82" xfId="0" applyNumberFormat="1" applyFill="1" applyBorder="1" applyAlignment="1" applyProtection="1">
      <alignment horizontal="center" vertical="center"/>
      <protection locked="0"/>
    </xf>
    <xf numFmtId="0" fontId="0" fillId="0" borderId="6" xfId="0" applyBorder="1" applyAlignment="1">
      <alignment horizontal="left" vertical="center"/>
    </xf>
    <xf numFmtId="14" fontId="19" fillId="10" borderId="0" xfId="0" applyNumberFormat="1" applyFont="1" applyFill="1" applyAlignment="1" applyProtection="1">
      <alignment horizontal="left" vertical="center"/>
      <protection locked="0"/>
    </xf>
    <xf numFmtId="14" fontId="19" fillId="10" borderId="7" xfId="0" applyNumberFormat="1" applyFont="1" applyFill="1" applyBorder="1" applyAlignment="1" applyProtection="1">
      <alignment horizontal="left" vertical="center"/>
      <protection locked="0"/>
    </xf>
    <xf numFmtId="167" fontId="19" fillId="10" borderId="94" xfId="0" applyNumberFormat="1" applyFont="1" applyFill="1" applyBorder="1" applyAlignment="1" applyProtection="1">
      <alignment horizontal="left" vertical="center"/>
      <protection locked="0"/>
    </xf>
    <xf numFmtId="167" fontId="19" fillId="10" borderId="95" xfId="0" applyNumberFormat="1" applyFont="1" applyFill="1" applyBorder="1" applyAlignment="1" applyProtection="1">
      <alignment horizontal="left" vertical="center"/>
      <protection locked="0"/>
    </xf>
    <xf numFmtId="0" fontId="12" fillId="0" borderId="30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9" fillId="10" borderId="86" xfId="0" applyFont="1" applyFill="1" applyBorder="1" applyAlignment="1" applyProtection="1">
      <alignment horizontal="left" vertical="center"/>
      <protection locked="0"/>
    </xf>
    <xf numFmtId="0" fontId="19" fillId="10" borderId="87" xfId="0" applyFont="1" applyFill="1" applyBorder="1" applyAlignment="1" applyProtection="1">
      <alignment horizontal="left" vertical="center"/>
      <protection locked="0"/>
    </xf>
    <xf numFmtId="167" fontId="19" fillId="10" borderId="87" xfId="0" applyNumberFormat="1" applyFont="1" applyFill="1" applyBorder="1" applyAlignment="1" applyProtection="1">
      <alignment horizontal="center" vertical="center"/>
      <protection locked="0"/>
    </xf>
    <xf numFmtId="0" fontId="19" fillId="10" borderId="87" xfId="0" applyFont="1" applyFill="1" applyBorder="1" applyAlignment="1" applyProtection="1">
      <alignment horizontal="center" vertical="center"/>
      <protection locked="0"/>
    </xf>
    <xf numFmtId="4" fontId="19" fillId="10" borderId="87" xfId="0" applyNumberFormat="1" applyFont="1" applyFill="1" applyBorder="1" applyAlignment="1" applyProtection="1">
      <alignment horizontal="center" vertical="center"/>
      <protection locked="0"/>
    </xf>
    <xf numFmtId="4" fontId="19" fillId="10" borderId="88" xfId="0" applyNumberFormat="1" applyFont="1" applyFill="1" applyBorder="1" applyAlignment="1" applyProtection="1">
      <alignment horizontal="center" vertical="center"/>
      <protection locked="0"/>
    </xf>
    <xf numFmtId="40" fontId="0" fillId="0" borderId="14" xfId="0" applyNumberFormat="1" applyBorder="1" applyAlignment="1">
      <alignment horizontal="right" vertical="center"/>
    </xf>
    <xf numFmtId="0" fontId="12" fillId="0" borderId="6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9" fillId="10" borderId="99" xfId="0" applyFont="1" applyFill="1" applyBorder="1" applyAlignment="1" applyProtection="1">
      <alignment horizontal="left" vertical="center"/>
      <protection locked="0"/>
    </xf>
    <xf numFmtId="0" fontId="19" fillId="10" borderId="89" xfId="0" applyFont="1" applyFill="1" applyBorder="1" applyAlignment="1" applyProtection="1">
      <alignment horizontal="left" vertical="center"/>
      <protection locked="0"/>
    </xf>
    <xf numFmtId="167" fontId="19" fillId="10" borderId="89" xfId="0" applyNumberFormat="1" applyFont="1" applyFill="1" applyBorder="1" applyAlignment="1" applyProtection="1">
      <alignment horizontal="center" vertical="center"/>
      <protection locked="0"/>
    </xf>
    <xf numFmtId="0" fontId="19" fillId="10" borderId="89" xfId="0" applyFont="1" applyFill="1" applyBorder="1" applyAlignment="1" applyProtection="1">
      <alignment horizontal="center" vertical="center"/>
      <protection locked="0"/>
    </xf>
    <xf numFmtId="4" fontId="19" fillId="10" borderId="89" xfId="0" applyNumberFormat="1" applyFont="1" applyFill="1" applyBorder="1" applyAlignment="1" applyProtection="1">
      <alignment horizontal="center" vertical="center"/>
      <protection locked="0"/>
    </xf>
    <xf numFmtId="4" fontId="19" fillId="10" borderId="100" xfId="0" applyNumberFormat="1" applyFont="1" applyFill="1" applyBorder="1" applyAlignment="1" applyProtection="1">
      <alignment horizontal="center" vertical="center"/>
      <protection locked="0"/>
    </xf>
    <xf numFmtId="0" fontId="6" fillId="0" borderId="0" xfId="1" applyAlignment="1" applyProtection="1">
      <alignment horizontal="left" vertical="center"/>
      <protection locked="0"/>
    </xf>
    <xf numFmtId="14" fontId="19" fillId="10" borderId="97" xfId="0" applyNumberFormat="1" applyFont="1" applyFill="1" applyBorder="1" applyAlignment="1" applyProtection="1">
      <alignment horizontal="left" vertical="center"/>
      <protection locked="0"/>
    </xf>
    <xf numFmtId="0" fontId="19" fillId="10" borderId="119" xfId="0" applyFont="1" applyFill="1" applyBorder="1" applyAlignment="1" applyProtection="1">
      <alignment horizontal="left" vertical="center"/>
      <protection locked="0"/>
    </xf>
    <xf numFmtId="0" fontId="0" fillId="0" borderId="6" xfId="0" applyBorder="1" applyAlignment="1">
      <alignment vertical="center"/>
    </xf>
    <xf numFmtId="0" fontId="0" fillId="0" borderId="0" xfId="0" applyAlignment="1">
      <alignment vertical="center"/>
    </xf>
    <xf numFmtId="8" fontId="11" fillId="0" borderId="4" xfId="0" applyNumberFormat="1" applyFont="1" applyBorder="1" applyAlignment="1">
      <alignment horizontal="right" vertical="center"/>
    </xf>
    <xf numFmtId="8" fontId="11" fillId="0" borderId="11" xfId="0" applyNumberFormat="1" applyFont="1" applyBorder="1" applyAlignment="1">
      <alignment horizontal="right" vertical="center"/>
    </xf>
    <xf numFmtId="8" fontId="11" fillId="0" borderId="2" xfId="0" applyNumberFormat="1" applyFont="1" applyBorder="1" applyAlignment="1">
      <alignment horizontal="right" vertical="center"/>
    </xf>
    <xf numFmtId="0" fontId="19" fillId="10" borderId="92" xfId="0" applyFont="1" applyFill="1" applyBorder="1" applyAlignment="1" applyProtection="1">
      <alignment horizontal="left" vertical="center"/>
      <protection locked="0"/>
    </xf>
    <xf numFmtId="0" fontId="19" fillId="10" borderId="93" xfId="0" applyFont="1" applyFill="1" applyBorder="1" applyAlignment="1" applyProtection="1">
      <alignment horizontal="left" vertical="center"/>
      <protection locked="0"/>
    </xf>
    <xf numFmtId="2" fontId="68" fillId="6" borderId="11" xfId="0" applyNumberFormat="1" applyFont="1" applyFill="1" applyBorder="1" applyAlignment="1">
      <alignment horizontal="center" vertical="center"/>
    </xf>
    <xf numFmtId="2" fontId="68" fillId="6" borderId="2" xfId="0" applyNumberFormat="1" applyFont="1" applyFill="1" applyBorder="1" applyAlignment="1">
      <alignment horizontal="center" vertical="center"/>
    </xf>
    <xf numFmtId="0" fontId="0" fillId="10" borderId="106" xfId="0" applyFill="1" applyBorder="1" applyAlignment="1" applyProtection="1">
      <alignment horizontal="left" vertical="center"/>
      <protection locked="0"/>
    </xf>
    <xf numFmtId="0" fontId="0" fillId="10" borderId="92" xfId="0" applyFill="1" applyBorder="1" applyAlignment="1" applyProtection="1">
      <alignment horizontal="left" vertical="center"/>
      <protection locked="0"/>
    </xf>
    <xf numFmtId="0" fontId="0" fillId="10" borderId="103" xfId="0" applyFill="1" applyBorder="1" applyAlignment="1" applyProtection="1">
      <alignment horizontal="left" vertical="center"/>
      <protection locked="0"/>
    </xf>
    <xf numFmtId="0" fontId="0" fillId="10" borderId="109" xfId="0" applyFill="1" applyBorder="1" applyAlignment="1" applyProtection="1">
      <alignment horizontal="left" vertical="center"/>
      <protection locked="0"/>
    </xf>
    <xf numFmtId="0" fontId="0" fillId="10" borderId="110" xfId="0" applyFill="1" applyBorder="1" applyAlignment="1" applyProtection="1">
      <alignment horizontal="left" vertical="center"/>
      <protection locked="0"/>
    </xf>
    <xf numFmtId="0" fontId="0" fillId="10" borderId="108" xfId="0" applyFill="1" applyBorder="1" applyAlignment="1" applyProtection="1">
      <alignment horizontal="left" vertical="center"/>
      <protection locked="0"/>
    </xf>
    <xf numFmtId="2" fontId="0" fillId="10" borderId="87" xfId="0" applyNumberFormat="1" applyFill="1" applyBorder="1" applyAlignment="1" applyProtection="1">
      <alignment horizontal="center" vertical="center"/>
      <protection locked="0"/>
    </xf>
    <xf numFmtId="172" fontId="0" fillId="10" borderId="87" xfId="0" applyNumberFormat="1" applyFill="1" applyBorder="1" applyAlignment="1" applyProtection="1">
      <alignment horizontal="center" vertical="center"/>
      <protection locked="0"/>
    </xf>
    <xf numFmtId="172" fontId="0" fillId="10" borderId="88" xfId="0" applyNumberFormat="1" applyFill="1" applyBorder="1" applyAlignment="1" applyProtection="1">
      <alignment horizontal="center" vertical="center"/>
      <protection locked="0"/>
    </xf>
    <xf numFmtId="166" fontId="42" fillId="10" borderId="4" xfId="0" applyNumberFormat="1" applyFont="1" applyFill="1" applyBorder="1" applyAlignment="1" applyProtection="1">
      <alignment horizontal="right" vertical="center"/>
      <protection locked="0"/>
    </xf>
    <xf numFmtId="0" fontId="2" fillId="0" borderId="11" xfId="0" applyFont="1" applyBorder="1" applyAlignment="1" applyProtection="1">
      <alignment horizontal="right" vertical="center"/>
      <protection locked="0"/>
    </xf>
    <xf numFmtId="0" fontId="2" fillId="0" borderId="2" xfId="0" applyFont="1" applyBorder="1" applyAlignment="1" applyProtection="1">
      <alignment horizontal="right" vertical="center"/>
      <protection locked="0"/>
    </xf>
    <xf numFmtId="166" fontId="0" fillId="0" borderId="9" xfId="0" applyNumberFormat="1" applyBorder="1" applyAlignment="1">
      <alignment horizontal="center" vertical="center"/>
    </xf>
    <xf numFmtId="0" fontId="40" fillId="13" borderId="16" xfId="0" applyFont="1" applyFill="1" applyBorder="1" applyAlignment="1">
      <alignment horizontal="left" vertical="center" wrapText="1"/>
    </xf>
    <xf numFmtId="0" fontId="40" fillId="13" borderId="4" xfId="0" applyFont="1" applyFill="1" applyBorder="1" applyAlignment="1">
      <alignment horizontal="left" vertical="center" wrapText="1"/>
    </xf>
    <xf numFmtId="0" fontId="0" fillId="10" borderId="87" xfId="0" applyFill="1" applyBorder="1" applyAlignment="1" applyProtection="1">
      <alignment horizontal="center" vertical="center"/>
      <protection locked="0"/>
    </xf>
    <xf numFmtId="171" fontId="0" fillId="10" borderId="87" xfId="0" applyNumberFormat="1" applyFill="1" applyBorder="1" applyAlignment="1" applyProtection="1">
      <alignment horizontal="center" vertical="center"/>
      <protection locked="0"/>
    </xf>
    <xf numFmtId="171" fontId="0" fillId="10" borderId="88" xfId="0" applyNumberFormat="1" applyFill="1" applyBorder="1" applyAlignment="1" applyProtection="1">
      <alignment horizontal="center" vertical="center"/>
      <protection locked="0"/>
    </xf>
    <xf numFmtId="0" fontId="0" fillId="10" borderId="82" xfId="0" applyFill="1" applyBorder="1" applyAlignment="1" applyProtection="1">
      <alignment horizontal="center" vertical="center"/>
      <protection locked="0"/>
    </xf>
    <xf numFmtId="40" fontId="0" fillId="0" borderId="21" xfId="0" applyNumberFormat="1" applyBorder="1" applyAlignment="1">
      <alignment horizontal="right" vertical="center"/>
    </xf>
    <xf numFmtId="40" fontId="0" fillId="0" borderId="39" xfId="0" applyNumberFormat="1" applyBorder="1" applyAlignment="1">
      <alignment horizontal="right" vertical="center"/>
    </xf>
    <xf numFmtId="0" fontId="0" fillId="10" borderId="88" xfId="0" applyFill="1" applyBorder="1" applyAlignment="1" applyProtection="1">
      <alignment horizontal="center" vertical="center"/>
      <protection locked="0"/>
    </xf>
    <xf numFmtId="40" fontId="0" fillId="0" borderId="22" xfId="0" applyNumberFormat="1" applyBorder="1" applyAlignment="1">
      <alignment horizontal="right" vertical="center"/>
    </xf>
    <xf numFmtId="40" fontId="0" fillId="0" borderId="23" xfId="0" applyNumberFormat="1" applyBorder="1" applyAlignment="1">
      <alignment horizontal="right" vertical="center"/>
    </xf>
    <xf numFmtId="4" fontId="68" fillId="13" borderId="4" xfId="0" applyNumberFormat="1" applyFont="1" applyFill="1" applyBorder="1" applyAlignment="1">
      <alignment horizontal="right" vertical="center"/>
    </xf>
    <xf numFmtId="167" fontId="0" fillId="10" borderId="87" xfId="0" applyNumberFormat="1" applyFill="1" applyBorder="1" applyAlignment="1" applyProtection="1">
      <alignment horizontal="center" vertical="center"/>
      <protection locked="0"/>
    </xf>
    <xf numFmtId="0" fontId="0" fillId="10" borderId="86" xfId="0" applyFill="1" applyBorder="1" applyAlignment="1" applyProtection="1">
      <alignment horizontal="left" vertical="center"/>
      <protection locked="0"/>
    </xf>
    <xf numFmtId="0" fontId="0" fillId="10" borderId="87" xfId="0" applyFill="1" applyBorder="1" applyAlignment="1" applyProtection="1">
      <alignment horizontal="left" vertical="center"/>
      <protection locked="0"/>
    </xf>
    <xf numFmtId="173" fontId="0" fillId="10" borderId="0" xfId="0" applyNumberFormat="1" applyFill="1" applyAlignment="1" applyProtection="1">
      <alignment horizontal="center" vertical="center"/>
      <protection locked="0"/>
    </xf>
    <xf numFmtId="175" fontId="18" fillId="0" borderId="0" xfId="0" applyNumberFormat="1" applyFont="1" applyAlignment="1">
      <alignment horizontal="left" vertical="center"/>
    </xf>
    <xf numFmtId="14" fontId="0" fillId="0" borderId="0" xfId="0" applyNumberFormat="1" applyAlignment="1" applyProtection="1">
      <alignment horizontal="left" vertical="center"/>
      <protection locked="0"/>
    </xf>
    <xf numFmtId="14" fontId="0" fillId="0" borderId="7" xfId="0" applyNumberFormat="1" applyBorder="1" applyAlignment="1" applyProtection="1">
      <alignment horizontal="left" vertical="center"/>
      <protection locked="0"/>
    </xf>
    <xf numFmtId="167" fontId="0" fillId="0" borderId="94" xfId="0" applyNumberFormat="1" applyBorder="1" applyAlignment="1" applyProtection="1">
      <alignment horizontal="left" vertical="center"/>
      <protection locked="0"/>
    </xf>
    <xf numFmtId="167" fontId="0" fillId="0" borderId="95" xfId="0" applyNumberFormat="1" applyBorder="1" applyAlignment="1" applyProtection="1">
      <alignment horizontal="left" vertical="center"/>
      <protection locked="0"/>
    </xf>
    <xf numFmtId="2" fontId="19" fillId="10" borderId="97" xfId="0" applyNumberFormat="1" applyFont="1" applyFill="1" applyBorder="1" applyAlignment="1" applyProtection="1">
      <alignment horizontal="left" vertical="center"/>
      <protection locked="0"/>
    </xf>
    <xf numFmtId="2" fontId="19" fillId="10" borderId="119" xfId="0" applyNumberFormat="1" applyFont="1" applyFill="1" applyBorder="1" applyAlignment="1" applyProtection="1">
      <alignment horizontal="left" vertical="center"/>
      <protection locked="0"/>
    </xf>
    <xf numFmtId="0" fontId="48" fillId="10" borderId="6" xfId="0" applyFont="1" applyFill="1" applyBorder="1" applyAlignment="1" applyProtection="1">
      <alignment horizontal="left" vertical="top"/>
      <protection locked="0"/>
    </xf>
    <xf numFmtId="0" fontId="48" fillId="10" borderId="0" xfId="0" applyFont="1" applyFill="1" applyAlignment="1" applyProtection="1">
      <alignment horizontal="left" vertical="top"/>
      <protection locked="0"/>
    </xf>
    <xf numFmtId="0" fontId="48" fillId="10" borderId="7" xfId="0" applyFont="1" applyFill="1" applyBorder="1" applyAlignment="1" applyProtection="1">
      <alignment horizontal="left" vertical="top"/>
      <protection locked="0"/>
    </xf>
    <xf numFmtId="0" fontId="48" fillId="10" borderId="8" xfId="0" applyFont="1" applyFill="1" applyBorder="1" applyAlignment="1" applyProtection="1">
      <alignment horizontal="left" vertical="top"/>
      <protection locked="0"/>
    </xf>
    <xf numFmtId="0" fontId="48" fillId="10" borderId="9" xfId="0" applyFont="1" applyFill="1" applyBorder="1" applyAlignment="1" applyProtection="1">
      <alignment horizontal="left" vertical="top"/>
      <protection locked="0"/>
    </xf>
    <xf numFmtId="0" fontId="48" fillId="10" borderId="10" xfId="0" applyFont="1" applyFill="1" applyBorder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center"/>
      <protection locked="0"/>
    </xf>
    <xf numFmtId="0" fontId="22" fillId="0" borderId="0" xfId="0" applyFont="1" applyAlignment="1">
      <alignment horizontal="left" vertical="center" wrapText="1"/>
    </xf>
    <xf numFmtId="0" fontId="0" fillId="10" borderId="111" xfId="0" applyFill="1" applyBorder="1" applyAlignment="1" applyProtection="1">
      <alignment horizontal="left" vertical="center"/>
      <protection locked="0"/>
    </xf>
    <xf numFmtId="0" fontId="0" fillId="10" borderId="123" xfId="0" applyFill="1" applyBorder="1" applyAlignment="1" applyProtection="1">
      <alignment horizontal="left" vertical="center"/>
      <protection locked="0"/>
    </xf>
    <xf numFmtId="0" fontId="0" fillId="10" borderId="105" xfId="0" applyFill="1" applyBorder="1" applyAlignment="1" applyProtection="1">
      <alignment horizontal="left" vertical="center"/>
      <protection locked="0"/>
    </xf>
  </cellXfs>
  <cellStyles count="8">
    <cellStyle name="Comma" xfId="7" builtinId="3"/>
    <cellStyle name="Hyperlink" xfId="1" builtinId="8"/>
    <cellStyle name="Lien hypertexte 2" xfId="3" xr:uid="{00000000-0005-0000-0000-000001000000}"/>
    <cellStyle name="Normal" xfId="0" builtinId="0"/>
    <cellStyle name="Normal 2" xfId="4" xr:uid="{00000000-0005-0000-0000-000004000000}"/>
    <cellStyle name="Normal 3" xfId="2" xr:uid="{00000000-0005-0000-0000-000005000000}"/>
    <cellStyle name="Normal 4" xfId="5" xr:uid="{00000000-0005-0000-0000-000006000000}"/>
    <cellStyle name="Normal 5" xfId="6" xr:uid="{00000000-0005-0000-0000-000007000000}"/>
  </cellStyles>
  <dxfs count="1">
    <dxf>
      <fill>
        <patternFill>
          <bgColor theme="5" tint="0.39994506668294322"/>
        </patternFill>
      </fill>
    </dxf>
  </dxfs>
  <tableStyles count="0" defaultTableStyle="TableStyleMedium9" defaultPivotStyle="PivotStyleLight16"/>
  <colors>
    <mruColors>
      <color rgb="FF1FA22E"/>
      <color rgb="FFCBF5D0"/>
      <color rgb="FFCDF5D0"/>
      <color rgb="FFCCFFFF"/>
      <color rgb="FFFFFF99"/>
      <color rgb="FFCCFFCC"/>
      <color rgb="FFCCECFF"/>
      <color rgb="FFFFFF66"/>
      <color rgb="FF26C839"/>
      <color rgb="FF97BF0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7" Type="http://schemas.openxmlformats.org/officeDocument/2006/relationships/image" Target="../media/image8.jpeg"/><Relationship Id="rId2" Type="http://schemas.openxmlformats.org/officeDocument/2006/relationships/image" Target="../media/image3.jpeg"/><Relationship Id="rId1" Type="http://schemas.openxmlformats.org/officeDocument/2006/relationships/image" Target="../media/image2.emf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9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63</xdr:row>
      <xdr:rowOff>85725</xdr:rowOff>
    </xdr:from>
    <xdr:to>
      <xdr:col>19</xdr:col>
      <xdr:colOff>283820</xdr:colOff>
      <xdr:row>95</xdr:row>
      <xdr:rowOff>47624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754475"/>
          <a:ext cx="15447620" cy="60578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59</xdr:row>
      <xdr:rowOff>264915</xdr:rowOff>
    </xdr:from>
    <xdr:to>
      <xdr:col>1</xdr:col>
      <xdr:colOff>19049</xdr:colOff>
      <xdr:row>194</xdr:row>
      <xdr:rowOff>15240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1942565"/>
          <a:ext cx="142874" cy="119366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300084</xdr:colOff>
      <xdr:row>60</xdr:row>
      <xdr:rowOff>32451</xdr:rowOff>
    </xdr:from>
    <xdr:to>
      <xdr:col>6</xdr:col>
      <xdr:colOff>172388</xdr:colOff>
      <xdr:row>65</xdr:row>
      <xdr:rowOff>171145</xdr:rowOff>
    </xdr:to>
    <xdr:pic>
      <xdr:nvPicPr>
        <xdr:cNvPr id="3" name="Image 2" descr="D:\Mes donnees\!LEGRAND dossiers\LEGRAND\MODELES\LOGO CIRAD\LogCirad_Fr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909" y="12272076"/>
          <a:ext cx="2003999" cy="121501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23790</xdr:colOff>
      <xdr:row>0</xdr:row>
      <xdr:rowOff>0</xdr:rowOff>
    </xdr:from>
    <xdr:to>
      <xdr:col>3</xdr:col>
      <xdr:colOff>361215</xdr:colOff>
      <xdr:row>3</xdr:row>
      <xdr:rowOff>207645</xdr:rowOff>
    </xdr:to>
    <xdr:pic>
      <xdr:nvPicPr>
        <xdr:cNvPr id="4" name="Image 3" descr="D:\Mes donnees\!LEGRAND dossiers\LEGRAND\MODELES\LOGO CIRAD\LogCirad_Fr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90" y="0"/>
          <a:ext cx="1354695" cy="7239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1887</xdr:colOff>
      <xdr:row>112</xdr:row>
      <xdr:rowOff>13587</xdr:rowOff>
    </xdr:from>
    <xdr:to>
      <xdr:col>11</xdr:col>
      <xdr:colOff>325618</xdr:colOff>
      <xdr:row>112</xdr:row>
      <xdr:rowOff>206348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011537" y="23273637"/>
          <a:ext cx="3668911" cy="200381"/>
        </a:xfrm>
        <a:prstGeom prst="rect">
          <a:avLst/>
        </a:prstGeom>
      </xdr:spPr>
    </xdr:pic>
    <xdr:clientData/>
  </xdr:twoCellAnchor>
  <xdr:twoCellAnchor editAs="oneCell">
    <xdr:from>
      <xdr:col>3</xdr:col>
      <xdr:colOff>6699</xdr:colOff>
      <xdr:row>114</xdr:row>
      <xdr:rowOff>74094</xdr:rowOff>
    </xdr:from>
    <xdr:to>
      <xdr:col>14</xdr:col>
      <xdr:colOff>59975</xdr:colOff>
      <xdr:row>114</xdr:row>
      <xdr:rowOff>205740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016349" y="24077094"/>
          <a:ext cx="4669091" cy="129108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93</xdr:row>
      <xdr:rowOff>0</xdr:rowOff>
    </xdr:from>
    <xdr:to>
      <xdr:col>17</xdr:col>
      <xdr:colOff>406400</xdr:colOff>
      <xdr:row>95</xdr:row>
      <xdr:rowOff>76657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0BE8894B-9672-A39C-30A3-4F15A1FB6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64300" y="19519900"/>
          <a:ext cx="1854200" cy="521157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93</xdr:row>
      <xdr:rowOff>0</xdr:rowOff>
    </xdr:from>
    <xdr:to>
      <xdr:col>11</xdr:col>
      <xdr:colOff>99786</xdr:colOff>
      <xdr:row>96</xdr:row>
      <xdr:rowOff>55391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65D6DCE-26F6-4832-B992-7647BF07F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0357" y="19558000"/>
          <a:ext cx="1406072" cy="7176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</xdr:colOff>
      <xdr:row>0</xdr:row>
      <xdr:rowOff>0</xdr:rowOff>
    </xdr:from>
    <xdr:to>
      <xdr:col>4</xdr:col>
      <xdr:colOff>131445</xdr:colOff>
      <xdr:row>2</xdr:row>
      <xdr:rowOff>206365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733" b="10492"/>
        <a:stretch/>
      </xdr:blipFill>
      <xdr:spPr>
        <a:xfrm>
          <a:off x="72390" y="0"/>
          <a:ext cx="1087755" cy="499735"/>
        </a:xfrm>
        <a:prstGeom prst="rect">
          <a:avLst/>
        </a:prstGeom>
      </xdr:spPr>
    </xdr:pic>
    <xdr:clientData/>
  </xdr:twoCellAnchor>
  <xdr:twoCellAnchor editAs="oneCell">
    <xdr:from>
      <xdr:col>4</xdr:col>
      <xdr:colOff>171446</xdr:colOff>
      <xdr:row>161</xdr:row>
      <xdr:rowOff>25399</xdr:rowOff>
    </xdr:from>
    <xdr:to>
      <xdr:col>7</xdr:col>
      <xdr:colOff>185865</xdr:colOff>
      <xdr:row>164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CE615B3-5A45-48EF-B643-D45179A94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779" y="31174266"/>
          <a:ext cx="1386019" cy="71120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0</xdr:col>
      <xdr:colOff>219074</xdr:colOff>
      <xdr:row>29</xdr:row>
      <xdr:rowOff>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"/>
          <a:ext cx="219074" cy="56673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411462</xdr:colOff>
      <xdr:row>23</xdr:row>
      <xdr:rowOff>4062</xdr:rowOff>
    </xdr:from>
    <xdr:to>
      <xdr:col>7</xdr:col>
      <xdr:colOff>314325</xdr:colOff>
      <xdr:row>24</xdr:row>
      <xdr:rowOff>28575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73462" y="4528437"/>
          <a:ext cx="4474863" cy="21501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180975</xdr:rowOff>
    </xdr:from>
    <xdr:to>
      <xdr:col>7</xdr:col>
      <xdr:colOff>97091</xdr:colOff>
      <xdr:row>28</xdr:row>
      <xdr:rowOff>119583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62000" y="5467350"/>
          <a:ext cx="4669091" cy="12910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llaboratif.cirad.fr/Users/burdeau/AppData/Local/Temp/demande%20de%20remboursement%20de%20frais%20d'habillage%20201904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ffectation-Mobilier"/>
      <sheetName val="Logement"/>
      <sheetName val="Congés"/>
      <sheetName val="Scolarité"/>
      <sheetName val="Agent"/>
      <sheetName val="Liste Structure"/>
      <sheetName val="Liste Activites"/>
      <sheetName val="Liste Géo"/>
      <sheetName val="Agora FH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C2" t="str">
            <v>A01700-UMR INTERTRYP</v>
          </cell>
        </row>
        <row r="3">
          <cell r="C3" t="str">
            <v>A05100-UMR AMAP</v>
          </cell>
        </row>
        <row r="4">
          <cell r="C4" t="str">
            <v>A05300-UMR PVBMT</v>
          </cell>
        </row>
        <row r="5">
          <cell r="C5" t="str">
            <v>A05400-UMR BGPI</v>
          </cell>
        </row>
        <row r="6">
          <cell r="C6" t="str">
            <v>A05500-UMR CBGP</v>
          </cell>
        </row>
        <row r="7">
          <cell r="C7" t="str">
            <v>A08200-UMR LSTM</v>
          </cell>
        </row>
        <row r="8">
          <cell r="C8" t="str">
            <v>A09800-UMR IPME</v>
          </cell>
        </row>
        <row r="9">
          <cell r="C9" t="str">
            <v>A10000-UMR DIADE</v>
          </cell>
        </row>
        <row r="10">
          <cell r="C10" t="str">
            <v>A10600-UPR BIOAGRESSEURS A&amp;M RISQUE</v>
          </cell>
        </row>
        <row r="11">
          <cell r="C11" t="str">
            <v>A10800-UMR AGAP</v>
          </cell>
        </row>
        <row r="12">
          <cell r="C12" t="str">
            <v>A10802-108 - AFEF</v>
          </cell>
        </row>
        <row r="13">
          <cell r="C13" t="str">
            <v>A10803-108 - BURST</v>
          </cell>
        </row>
        <row r="14">
          <cell r="C14" t="str">
            <v>A10804-108 - DAR</v>
          </cell>
        </row>
        <row r="15">
          <cell r="C15" t="str">
            <v>A10805-108 - DAAV</v>
          </cell>
        </row>
        <row r="16">
          <cell r="C16" t="str">
            <v>A10806-108 - DDSE</v>
          </cell>
        </row>
        <row r="17">
          <cell r="C17" t="str">
            <v>A10807-108 - GIV</v>
          </cell>
        </row>
        <row r="18">
          <cell r="C18" t="str">
            <v>A10808-108 - GS</v>
          </cell>
        </row>
        <row r="19">
          <cell r="C19" t="str">
            <v>A10809-108 - GE²pop</v>
          </cell>
        </row>
        <row r="20">
          <cell r="C20" t="str">
            <v>A10810-108 - ID</v>
          </cell>
        </row>
        <row r="21">
          <cell r="C21" t="str">
            <v>A10811-108 - PAM</v>
          </cell>
        </row>
        <row r="22">
          <cell r="C22" t="str">
            <v>A10812-108 - SEG</v>
          </cell>
        </row>
        <row r="23">
          <cell r="C23" t="str">
            <v>A10813-108 - LSRG</v>
          </cell>
        </row>
        <row r="24">
          <cell r="C24" t="str">
            <v>A10814-108 - PHIV</v>
          </cell>
        </row>
        <row r="25">
          <cell r="C25" t="str">
            <v>A10815-108 - OpenAlea</v>
          </cell>
        </row>
        <row r="26">
          <cell r="C26" t="str">
            <v>A10816-108 - SC</v>
          </cell>
        </row>
        <row r="27">
          <cell r="C27" t="str">
            <v>A10817-108 - GABA</v>
          </cell>
        </row>
        <row r="28">
          <cell r="C28" t="str">
            <v>A10818-108 - SEAPAG</v>
          </cell>
        </row>
        <row r="29">
          <cell r="C29" t="str">
            <v>A10819-108 - CRB PT</v>
          </cell>
        </row>
        <row r="30">
          <cell r="C30" t="str">
            <v>A10820-108 - M2P2</v>
          </cell>
        </row>
        <row r="31">
          <cell r="C31" t="str">
            <v>A11700-UMR ASTRE</v>
          </cell>
        </row>
        <row r="32">
          <cell r="C32" t="str">
            <v>B02600-UPR GECO</v>
          </cell>
        </row>
        <row r="33">
          <cell r="C33" t="str">
            <v>B03400-UPR Systèmes de pérennes</v>
          </cell>
        </row>
        <row r="34">
          <cell r="C34" t="str">
            <v>B04900-US  Analyses</v>
          </cell>
        </row>
        <row r="35">
          <cell r="C35" t="str">
            <v>B06200-UMR IATE</v>
          </cell>
        </row>
        <row r="36">
          <cell r="C36" t="str">
            <v>B06300-UMR ITAP</v>
          </cell>
        </row>
        <row r="37">
          <cell r="C37" t="str">
            <v>B06600-UMR SYSTEM</v>
          </cell>
        </row>
        <row r="38">
          <cell r="C38" t="str">
            <v>B07800-UPR Recyclage et risque</v>
          </cell>
        </row>
        <row r="39">
          <cell r="C39" t="str">
            <v>B09500-UMR QUALISUD</v>
          </cell>
        </row>
        <row r="40">
          <cell r="C40" t="str">
            <v>B10300-UPR HORTSYS</v>
          </cell>
        </row>
        <row r="41">
          <cell r="C41" t="str">
            <v>B11100-UMR ECO&amp;SOLS</v>
          </cell>
        </row>
        <row r="42">
          <cell r="C42" t="str">
            <v>B11400-UPR BIOMASSE BOIS ENERGIE BIOP</v>
          </cell>
        </row>
        <row r="43">
          <cell r="C43" t="str">
            <v>B11500-UPR AIDA</v>
          </cell>
        </row>
        <row r="44">
          <cell r="C44" t="str">
            <v>B11501-115 - ESCA</v>
          </cell>
        </row>
        <row r="45">
          <cell r="C45" t="str">
            <v>B11502-115 - CARABE</v>
          </cell>
        </row>
        <row r="46">
          <cell r="C46" t="str">
            <v>B11503-115 - GESC</v>
          </cell>
        </row>
        <row r="47">
          <cell r="C47" t="str">
            <v>B11504-115 - ARTISTS</v>
          </cell>
        </row>
        <row r="48">
          <cell r="C48" t="str">
            <v>B11505-115 - CSIA</v>
          </cell>
        </row>
        <row r="49">
          <cell r="C49" t="str">
            <v>B11600-UMR ISEM</v>
          </cell>
        </row>
        <row r="50">
          <cell r="C50" t="str">
            <v>CLO1-Clôture axe 1</v>
          </cell>
        </row>
        <row r="51">
          <cell r="C51" t="str">
            <v>C04700-UPR GREEN</v>
          </cell>
        </row>
        <row r="52">
          <cell r="C52" t="str">
            <v>C05600-UMR CIRED</v>
          </cell>
        </row>
        <row r="53">
          <cell r="C53" t="str">
            <v>C07400-UPR Gestion de l'eau</v>
          </cell>
        </row>
        <row r="54">
          <cell r="C54" t="str">
            <v>C08500-UMR Innovation</v>
          </cell>
        </row>
        <row r="55">
          <cell r="C55" t="str">
            <v>C09000-UMR G-EAU</v>
          </cell>
        </row>
        <row r="56">
          <cell r="C56" t="str">
            <v>C09100-UMR TETIS</v>
          </cell>
        </row>
        <row r="57">
          <cell r="C57" t="str">
            <v>C09300-UMR Ecofog</v>
          </cell>
        </row>
        <row r="58">
          <cell r="C58" t="str">
            <v>C09900-UMR MOISA</v>
          </cell>
        </row>
        <row r="59">
          <cell r="C59" t="str">
            <v>C10500-FORÊTS ET SOCIETES</v>
          </cell>
        </row>
        <row r="60">
          <cell r="C60" t="str">
            <v>C11200-UMR SELMET</v>
          </cell>
        </row>
        <row r="61">
          <cell r="C61" t="str">
            <v>C11201-112 - ARE</v>
          </cell>
        </row>
        <row r="62">
          <cell r="C62" t="str">
            <v>C11202-112 - ALTER</v>
          </cell>
        </row>
        <row r="63">
          <cell r="C63" t="str">
            <v>C11203-112 - DEFIT</v>
          </cell>
        </row>
        <row r="64">
          <cell r="C64" t="str">
            <v>C11300-UMR ART-DEV</v>
          </cell>
        </row>
        <row r="65">
          <cell r="C65" t="str">
            <v>D94200-DMS - Management - Animation</v>
          </cell>
        </row>
        <row r="66">
          <cell r="C66" t="str">
            <v>D94201-DMS - Resp. famille de bailleurs</v>
          </cell>
        </row>
        <row r="67">
          <cell r="C67" t="str">
            <v>D94202-DMS - Valorisation, politique de vente</v>
          </cell>
        </row>
        <row r="68">
          <cell r="C68" t="str">
            <v>D94400-DSI</v>
          </cell>
        </row>
        <row r="69">
          <cell r="C69" t="str">
            <v>D94500-DRRM</v>
          </cell>
        </row>
        <row r="70">
          <cell r="C70" t="str">
            <v>D94600-DRAG - Management - Animation</v>
          </cell>
        </row>
        <row r="71">
          <cell r="C71" t="str">
            <v>D94601-DRAG - DR Guyane</v>
          </cell>
        </row>
        <row r="72">
          <cell r="C72" t="str">
            <v>D94602-DRAG - DR Guadeloupe</v>
          </cell>
        </row>
        <row r="73">
          <cell r="C73" t="str">
            <v>D94603-DRAG - DR Martinique</v>
          </cell>
        </row>
        <row r="74">
          <cell r="C74" t="str">
            <v>D94700-DROM - Management - Animation</v>
          </cell>
        </row>
        <row r="75">
          <cell r="C75" t="str">
            <v>D94701-DROM - Agents Cirad MAD</v>
          </cell>
        </row>
        <row r="76">
          <cell r="C76" t="str">
            <v>D94800-DRIF - Management - Animation</v>
          </cell>
        </row>
        <row r="77">
          <cell r="C77" t="str">
            <v>D94801-DRIF - GRET</v>
          </cell>
        </row>
        <row r="78">
          <cell r="C78" t="str">
            <v>D94802-DRIF - IDDRI</v>
          </cell>
        </row>
        <row r="79">
          <cell r="C79" t="str">
            <v>D94803-DRIF - Agents Cirad MAD</v>
          </cell>
        </row>
        <row r="80">
          <cell r="C80" t="str">
            <v>D94900-DGD-RD - Management - Animation</v>
          </cell>
        </row>
        <row r="81">
          <cell r="C81" t="str">
            <v>D94901-DGD-RD - DAchats</v>
          </cell>
        </row>
        <row r="82">
          <cell r="C82" t="str">
            <v>D94902-DGD-RD - DArchives</v>
          </cell>
        </row>
        <row r="83">
          <cell r="C83" t="str">
            <v>D94903-DGD-RD - DJuridique</v>
          </cell>
        </row>
        <row r="84">
          <cell r="C84" t="str">
            <v>D94904-DGD-RD - DSST</v>
          </cell>
        </row>
        <row r="85">
          <cell r="C85" t="str">
            <v>D95800-DAE</v>
          </cell>
        </row>
        <row r="86">
          <cell r="C86" t="str">
            <v>D95900-DIST - Management - Animation</v>
          </cell>
        </row>
        <row r="87">
          <cell r="C87" t="str">
            <v>D95901-DIST - Appui à la recherche</v>
          </cell>
        </row>
        <row r="88">
          <cell r="C88" t="str">
            <v>D95902-DIST - Bibliothèques</v>
          </cell>
        </row>
        <row r="89">
          <cell r="C89" t="str">
            <v>D95903-DIST - Référentiels en IST</v>
          </cell>
        </row>
        <row r="90">
          <cell r="C90" t="str">
            <v>D95904-DIST - Appui à la publication</v>
          </cell>
        </row>
        <row r="91">
          <cell r="C91" t="str">
            <v>D95905-DIST - QUAE-Cirad</v>
          </cell>
        </row>
        <row r="92">
          <cell r="C92" t="str">
            <v>D96100-DGD-RS - Management - Animation</v>
          </cell>
        </row>
        <row r="93">
          <cell r="C93" t="str">
            <v>D96101-DGD-RS - Recherche et innovation</v>
          </cell>
        </row>
        <row r="94">
          <cell r="C94" t="str">
            <v>D96102-DGD-RS - Partenariats</v>
          </cell>
        </row>
        <row r="95">
          <cell r="C95" t="str">
            <v>D96103-DGD-RS - International</v>
          </cell>
        </row>
        <row r="96">
          <cell r="C96" t="str">
            <v>D96104-DGD-RS - Dqualité et infra</v>
          </cell>
        </row>
        <row r="97">
          <cell r="C97" t="str">
            <v>D96300-DELCOM - Management - Animation</v>
          </cell>
        </row>
        <row r="98">
          <cell r="C98" t="str">
            <v>D96301-DELCOM - Actualités, presse, digital</v>
          </cell>
        </row>
        <row r="99">
          <cell r="C99" t="str">
            <v>D96302-DELCOM - Supports institutionnels</v>
          </cell>
        </row>
        <row r="100">
          <cell r="C100" t="str">
            <v>D96303-DELCOM - Evénements</v>
          </cell>
        </row>
        <row r="101">
          <cell r="C101" t="str">
            <v>D96304-DELCOM - Communication interne</v>
          </cell>
        </row>
        <row r="102">
          <cell r="C102" t="str">
            <v>D97400-DRH - Management - Animation</v>
          </cell>
        </row>
        <row r="103">
          <cell r="C103" t="str">
            <v>D97401-DRH - Accompagnement management</v>
          </cell>
        </row>
        <row r="104">
          <cell r="C104" t="str">
            <v>D97402-DRH - Gestion des carrières</v>
          </cell>
        </row>
        <row r="105">
          <cell r="C105" t="str">
            <v>D97403-DRH - Adéquations besoins - ressources en compétences</v>
          </cell>
        </row>
        <row r="106">
          <cell r="C106" t="str">
            <v>D97404-DRH - Formation</v>
          </cell>
        </row>
        <row r="107">
          <cell r="C107" t="str">
            <v>D97405-DRH - Accueil</v>
          </cell>
        </row>
        <row r="108">
          <cell r="C108" t="str">
            <v>D97406-DRH - Administration RH</v>
          </cell>
        </row>
        <row r="109">
          <cell r="C109" t="str">
            <v>D97407-DRH - Relations sociales et contractuelles</v>
          </cell>
        </row>
        <row r="110">
          <cell r="C110" t="str">
            <v>D97408-DRH - Développement social</v>
          </cell>
        </row>
        <row r="111">
          <cell r="C111" t="str">
            <v>D97409-DRH - Etudes et projets</v>
          </cell>
        </row>
        <row r="112">
          <cell r="C112" t="str">
            <v>D97500-DITAM</v>
          </cell>
        </row>
        <row r="113">
          <cell r="C113" t="str">
            <v>D97600-DCAF - Management - Animation</v>
          </cell>
        </row>
        <row r="114">
          <cell r="C114" t="str">
            <v>D97601-DCAF - Comptabilité</v>
          </cell>
        </row>
        <row r="115">
          <cell r="C115" t="str">
            <v>D97602-DCAF - Trésorerie</v>
          </cell>
        </row>
        <row r="116">
          <cell r="C116" t="str">
            <v>D97603-DCAF - Budget central</v>
          </cell>
        </row>
        <row r="117">
          <cell r="C117" t="str">
            <v>D97604-DCAF - Budget déconcentré</v>
          </cell>
        </row>
        <row r="118">
          <cell r="C118" t="str">
            <v>D97605-DCAF - Gestion de contrats</v>
          </cell>
        </row>
        <row r="119">
          <cell r="C119" t="str">
            <v>D97606-DCAF - Recouvrement</v>
          </cell>
        </row>
        <row r="120">
          <cell r="C120" t="str">
            <v>D97607-DCAF - G2M</v>
          </cell>
        </row>
        <row r="121">
          <cell r="C121" t="str">
            <v>D97608-DCAF - Agents Cirad MAD</v>
          </cell>
        </row>
        <row r="122">
          <cell r="C122" t="str">
            <v>D98500-PDG - Management - Animation</v>
          </cell>
        </row>
        <row r="123">
          <cell r="C123" t="str">
            <v>D98501-PDG - DirDep Bios</v>
          </cell>
        </row>
        <row r="124">
          <cell r="C124" t="str">
            <v>D98502-PDG - DirDep Persyst</v>
          </cell>
        </row>
        <row r="125">
          <cell r="C125" t="str">
            <v>D98503-PDG - DirDep Es</v>
          </cell>
        </row>
        <row r="126">
          <cell r="C126" t="str">
            <v>900000-Structure technique</v>
          </cell>
        </row>
      </sheetData>
      <sheetData sheetId="6"/>
      <sheetData sheetId="7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ntranet-dcaf.cirad.fr/les-formulaires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intranet-dsst.cirad.fr/missions-et-mobilite/conseils" TargetMode="External"/><Relationship Id="rId3" Type="http://schemas.openxmlformats.org/officeDocument/2006/relationships/hyperlink" Target="http://intranet-securite.cirad.fr/prevention-et-consignes/securite-a-l-etranger" TargetMode="External"/><Relationship Id="rId7" Type="http://schemas.openxmlformats.org/officeDocument/2006/relationships/hyperlink" Target="http://intranet-dcaf.cirad.fr/organisation/organisation/service-g2m/vos-interlocuteurs-par-unite" TargetMode="External"/><Relationship Id="rId2" Type="http://schemas.openxmlformats.org/officeDocument/2006/relationships/hyperlink" Target="http://www.cirad.fr/" TargetMode="External"/><Relationship Id="rId1" Type="http://schemas.openxmlformats.org/officeDocument/2006/relationships/hyperlink" Target="http://intranet-securite.cirad.fr/prevention-et-consignes/securite-a-l-etranger" TargetMode="External"/><Relationship Id="rId6" Type="http://schemas.openxmlformats.org/officeDocument/2006/relationships/hyperlink" Target="http://intranet-dsst.cirad.fr/missions-et-mobilite/conseils" TargetMode="External"/><Relationship Id="rId11" Type="http://schemas.openxmlformats.org/officeDocument/2006/relationships/drawing" Target="../drawings/drawing2.xml"/><Relationship Id="rId5" Type="http://schemas.openxmlformats.org/officeDocument/2006/relationships/hyperlink" Target="http://intranet-drh.cirad.fr/les-textes-officiels/reglementations-ou-textes-officiels/notes-service-information/securisation-missions-2016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http://intranet-drh.cirad.fr/mobilite-missions/missions-et-deplacements/gme" TargetMode="External"/><Relationship Id="rId9" Type="http://schemas.openxmlformats.org/officeDocument/2006/relationships/hyperlink" Target="http://intranet-drh.cirad.fr/mobilite-missions/missions-et-deplacements/avant-la-mission/de-quoi-s-agit-i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intranet-dcaf.cirad.fr/formation-outils-applications/applications/taux-de-change" TargetMode="External"/><Relationship Id="rId1" Type="http://schemas.openxmlformats.org/officeDocument/2006/relationships/hyperlink" Target="http://intranet-dcaf.cirad.fr/comptabilite/devise_3.php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cirad.fr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63"/>
  <sheetViews>
    <sheetView showGridLines="0" topLeftCell="A31" workbookViewId="0">
      <selection sqref="A1:P1"/>
    </sheetView>
  </sheetViews>
  <sheetFormatPr defaultColWidth="11.44140625" defaultRowHeight="14.4" x14ac:dyDescent="0.3"/>
  <cols>
    <col min="1" max="1" width="7.33203125" customWidth="1"/>
    <col min="16" max="16" width="25.88671875" customWidth="1"/>
  </cols>
  <sheetData>
    <row r="1" spans="1:17" ht="21" x14ac:dyDescent="0.4">
      <c r="A1" s="318" t="s">
        <v>1694</v>
      </c>
      <c r="B1" s="318"/>
      <c r="C1" s="318"/>
      <c r="D1" s="318"/>
      <c r="E1" s="318"/>
      <c r="F1" s="318"/>
      <c r="G1" s="318"/>
      <c r="H1" s="318"/>
      <c r="I1" s="318"/>
      <c r="J1" s="318"/>
      <c r="K1" s="318"/>
      <c r="L1" s="318"/>
      <c r="M1" s="318"/>
      <c r="N1" s="318"/>
      <c r="O1" s="318"/>
      <c r="P1" s="318"/>
    </row>
    <row r="2" spans="1:17" ht="18" x14ac:dyDescent="0.35">
      <c r="A2" s="325" t="s">
        <v>1572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</row>
    <row r="3" spans="1:17" ht="18" x14ac:dyDescent="0.35">
      <c r="A3" s="325" t="s">
        <v>1573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</row>
    <row r="4" spans="1:17" ht="18" x14ac:dyDescent="0.35">
      <c r="A4" s="239"/>
      <c r="B4" s="239"/>
      <c r="C4" s="239"/>
      <c r="D4" s="239"/>
      <c r="E4" s="239"/>
      <c r="F4" s="239"/>
      <c r="G4" s="239"/>
      <c r="H4" s="239"/>
      <c r="I4" s="239"/>
      <c r="J4" s="239"/>
      <c r="K4" s="239"/>
      <c r="L4" s="239"/>
      <c r="M4" s="239"/>
      <c r="N4" s="239"/>
      <c r="O4" s="239"/>
      <c r="P4" s="239"/>
    </row>
    <row r="5" spans="1:17" ht="18" x14ac:dyDescent="0.35">
      <c r="A5" s="235"/>
      <c r="B5" s="235"/>
      <c r="C5" s="235"/>
      <c r="D5" s="235"/>
      <c r="E5" s="235"/>
      <c r="F5" s="235"/>
      <c r="G5" s="235"/>
      <c r="H5" s="235"/>
      <c r="I5" s="235"/>
      <c r="J5" s="235"/>
      <c r="K5" s="235"/>
      <c r="L5" s="235"/>
      <c r="M5" s="235"/>
      <c r="N5" s="235"/>
      <c r="O5" s="235"/>
      <c r="P5" s="235"/>
    </row>
    <row r="6" spans="1:17" ht="18" x14ac:dyDescent="0.35">
      <c r="A6" s="314" t="s">
        <v>1772</v>
      </c>
      <c r="B6" s="314"/>
      <c r="C6" s="314"/>
      <c r="D6" s="314"/>
      <c r="E6" s="314"/>
      <c r="F6" s="314"/>
      <c r="G6" s="314"/>
      <c r="H6" s="314"/>
      <c r="I6" s="314"/>
      <c r="J6" s="314"/>
      <c r="K6" s="314"/>
      <c r="L6" s="314"/>
      <c r="M6" s="314"/>
      <c r="N6" s="314"/>
      <c r="O6" s="235"/>
      <c r="P6" s="235"/>
    </row>
    <row r="7" spans="1:17" ht="18" x14ac:dyDescent="0.35">
      <c r="A7" s="314" t="s">
        <v>1690</v>
      </c>
      <c r="B7" s="314"/>
      <c r="C7" s="314"/>
      <c r="D7" s="314"/>
      <c r="E7" s="314"/>
      <c r="F7" s="314"/>
      <c r="G7" s="314"/>
      <c r="H7" s="314"/>
      <c r="I7" s="314"/>
      <c r="J7" s="314"/>
      <c r="K7" s="314"/>
      <c r="L7" s="314"/>
      <c r="M7" s="314"/>
      <c r="N7" s="314"/>
      <c r="O7" s="235"/>
      <c r="P7" s="235"/>
    </row>
    <row r="8" spans="1:17" ht="18" x14ac:dyDescent="0.35">
      <c r="A8" s="314" t="s">
        <v>1691</v>
      </c>
      <c r="B8" s="314"/>
      <c r="C8" s="314"/>
      <c r="D8" s="314"/>
      <c r="E8" s="314"/>
      <c r="F8" s="314"/>
      <c r="G8" s="314"/>
      <c r="H8" s="314"/>
      <c r="I8" s="314"/>
      <c r="J8" s="314"/>
      <c r="K8" s="314"/>
      <c r="L8" s="314"/>
      <c r="M8" s="314"/>
      <c r="N8" s="314"/>
      <c r="O8" s="314"/>
      <c r="P8" s="314"/>
    </row>
    <row r="9" spans="1:17" ht="18" x14ac:dyDescent="0.35">
      <c r="A9" s="235"/>
      <c r="B9" s="235"/>
      <c r="C9" s="235"/>
      <c r="D9" s="235"/>
      <c r="E9" s="235"/>
      <c r="F9" s="235"/>
      <c r="G9" s="235"/>
      <c r="H9" s="235"/>
      <c r="I9" s="235"/>
      <c r="J9" s="235"/>
      <c r="K9" s="235"/>
      <c r="L9" s="235"/>
      <c r="M9" s="235"/>
      <c r="N9" s="235"/>
      <c r="O9" s="235"/>
      <c r="P9" s="235"/>
    </row>
    <row r="10" spans="1:17" ht="18" x14ac:dyDescent="0.35">
      <c r="A10" s="235"/>
      <c r="B10" s="235"/>
      <c r="C10" s="235"/>
      <c r="D10" s="235"/>
      <c r="E10" s="235"/>
      <c r="F10" s="240" t="s">
        <v>1672</v>
      </c>
      <c r="G10" s="241" t="s">
        <v>1673</v>
      </c>
      <c r="H10" s="235"/>
      <c r="I10" s="235"/>
      <c r="J10" s="235"/>
      <c r="K10" s="235"/>
      <c r="L10" s="235"/>
      <c r="M10" s="235"/>
      <c r="N10" s="235"/>
      <c r="O10" s="235"/>
      <c r="P10" s="235"/>
    </row>
    <row r="11" spans="1:17" ht="18" x14ac:dyDescent="0.35">
      <c r="A11" s="235"/>
      <c r="B11" s="235"/>
      <c r="C11" s="235"/>
      <c r="D11" s="235"/>
      <c r="E11" s="235"/>
      <c r="F11" s="240" t="s">
        <v>1674</v>
      </c>
      <c r="G11" s="241" t="s">
        <v>1676</v>
      </c>
      <c r="H11" s="235"/>
      <c r="I11" s="235"/>
      <c r="J11" s="235"/>
      <c r="K11" s="235"/>
      <c r="L11" s="235"/>
      <c r="M11" s="235"/>
      <c r="N11" s="235"/>
      <c r="O11" s="235"/>
      <c r="P11" s="235"/>
    </row>
    <row r="12" spans="1:17" ht="18" x14ac:dyDescent="0.35">
      <c r="A12" s="235"/>
      <c r="B12" s="235"/>
      <c r="C12" s="235"/>
      <c r="D12" s="235"/>
      <c r="E12" s="235"/>
      <c r="F12" s="240" t="s">
        <v>1675</v>
      </c>
      <c r="G12" s="241" t="s">
        <v>1677</v>
      </c>
      <c r="H12" s="235"/>
      <c r="I12" s="235"/>
      <c r="J12" s="235"/>
      <c r="K12" s="235"/>
      <c r="L12" s="235"/>
      <c r="M12" s="235"/>
      <c r="N12" s="235"/>
      <c r="O12" s="235"/>
      <c r="P12" s="235"/>
    </row>
    <row r="13" spans="1:17" ht="18" x14ac:dyDescent="0.35">
      <c r="A13" s="235"/>
      <c r="B13" s="235"/>
      <c r="C13" s="235"/>
      <c r="D13" s="235"/>
      <c r="E13" s="235"/>
      <c r="F13" s="235"/>
      <c r="G13" s="237"/>
      <c r="H13" s="235"/>
      <c r="I13" s="235"/>
      <c r="J13" s="235"/>
      <c r="K13" s="235"/>
      <c r="L13" s="235"/>
      <c r="M13" s="235"/>
      <c r="N13" s="235"/>
      <c r="O13" s="235"/>
      <c r="P13" s="235"/>
    </row>
    <row r="14" spans="1:17" ht="18" x14ac:dyDescent="0.35">
      <c r="A14" s="314" t="s">
        <v>1574</v>
      </c>
      <c r="B14" s="314"/>
      <c r="C14" s="314"/>
      <c r="D14" s="314"/>
      <c r="E14" s="314"/>
      <c r="F14" s="314"/>
      <c r="G14" s="314"/>
      <c r="H14" s="314"/>
      <c r="I14" s="314"/>
      <c r="J14" s="314"/>
      <c r="K14" s="314"/>
      <c r="L14" s="314"/>
      <c r="M14" s="314"/>
      <c r="N14" s="314"/>
      <c r="O14" s="314"/>
      <c r="P14" s="314"/>
    </row>
    <row r="15" spans="1:17" ht="18" x14ac:dyDescent="0.35">
      <c r="A15" s="314" t="s">
        <v>1575</v>
      </c>
      <c r="B15" s="326"/>
      <c r="C15" s="326"/>
      <c r="D15" s="326"/>
      <c r="E15" s="326"/>
      <c r="F15" s="326"/>
      <c r="G15" s="326"/>
      <c r="H15" s="326"/>
      <c r="I15" s="326"/>
      <c r="J15" s="326"/>
      <c r="K15" s="326"/>
      <c r="L15" s="326"/>
      <c r="M15" s="326"/>
      <c r="N15" s="326"/>
      <c r="O15" s="326"/>
      <c r="P15" s="326"/>
    </row>
    <row r="16" spans="1:17" ht="18" x14ac:dyDescent="0.35">
      <c r="A16" s="314"/>
      <c r="B16" s="314"/>
      <c r="C16" s="314"/>
      <c r="D16" s="314"/>
      <c r="E16" s="314"/>
      <c r="F16" s="314"/>
      <c r="G16" s="314"/>
      <c r="H16" s="314"/>
      <c r="I16" s="314"/>
      <c r="J16" s="314"/>
      <c r="K16" s="314"/>
      <c r="L16" s="314"/>
      <c r="M16" s="314"/>
      <c r="N16" s="314"/>
      <c r="O16" s="235"/>
      <c r="P16" s="235"/>
    </row>
    <row r="17" spans="1:16" ht="18" x14ac:dyDescent="0.35">
      <c r="A17" s="314" t="s">
        <v>1698</v>
      </c>
      <c r="B17" s="315"/>
      <c r="C17" s="315"/>
      <c r="D17" s="315"/>
      <c r="E17" s="315"/>
      <c r="F17" s="315"/>
      <c r="G17" s="315"/>
      <c r="H17" s="315"/>
      <c r="I17" s="315"/>
      <c r="J17" s="315"/>
      <c r="K17" s="315"/>
      <c r="L17" s="315"/>
      <c r="M17" s="315"/>
      <c r="N17" s="315"/>
      <c r="O17" s="315"/>
      <c r="P17" s="315"/>
    </row>
    <row r="18" spans="1:16" ht="18" x14ac:dyDescent="0.35">
      <c r="A18" s="320" t="s">
        <v>1699</v>
      </c>
      <c r="B18" s="315"/>
      <c r="C18" s="315"/>
      <c r="D18" s="315"/>
      <c r="E18" s="315"/>
      <c r="F18" s="315"/>
      <c r="G18" s="315"/>
      <c r="H18" s="315"/>
      <c r="I18" s="315"/>
      <c r="J18" s="315"/>
      <c r="K18" s="315"/>
      <c r="L18" s="315"/>
      <c r="M18" s="315"/>
      <c r="N18" s="315"/>
      <c r="O18" s="315"/>
      <c r="P18" s="315"/>
    </row>
    <row r="19" spans="1:16" ht="18" x14ac:dyDescent="0.35">
      <c r="A19" s="320" t="s">
        <v>1700</v>
      </c>
      <c r="B19" s="315"/>
      <c r="C19" s="315"/>
      <c r="D19" s="315"/>
      <c r="E19" s="315"/>
      <c r="F19" s="315"/>
      <c r="G19" s="315"/>
      <c r="H19" s="315"/>
      <c r="I19" s="315"/>
      <c r="J19" s="315"/>
      <c r="K19" s="315"/>
      <c r="L19" s="315"/>
      <c r="M19" s="315"/>
      <c r="N19" s="315"/>
      <c r="O19" s="315"/>
      <c r="P19" s="315"/>
    </row>
    <row r="20" spans="1:16" ht="18" x14ac:dyDescent="0.35">
      <c r="A20" s="320" t="s">
        <v>1701</v>
      </c>
      <c r="B20" s="315"/>
      <c r="C20" s="315"/>
      <c r="D20" s="315"/>
      <c r="E20" s="315"/>
      <c r="F20" s="315"/>
      <c r="G20" s="315"/>
      <c r="H20" s="315"/>
      <c r="I20" s="315"/>
      <c r="J20" s="315"/>
      <c r="K20" s="315"/>
      <c r="L20" s="315"/>
      <c r="M20" s="315"/>
      <c r="N20" s="315"/>
      <c r="O20" s="315"/>
      <c r="P20" s="315"/>
    </row>
    <row r="21" spans="1:16" ht="18" x14ac:dyDescent="0.35">
      <c r="A21" s="320" t="s">
        <v>1702</v>
      </c>
      <c r="B21" s="315"/>
      <c r="C21" s="315"/>
      <c r="D21" s="315"/>
      <c r="E21" s="315"/>
      <c r="F21" s="315"/>
      <c r="G21" s="315"/>
      <c r="H21" s="315"/>
      <c r="I21" s="315"/>
      <c r="J21" s="315"/>
      <c r="K21" s="315"/>
      <c r="L21" s="315"/>
      <c r="M21" s="315"/>
      <c r="N21" s="315"/>
      <c r="O21" s="315"/>
      <c r="P21" s="315"/>
    </row>
    <row r="22" spans="1:16" ht="18" x14ac:dyDescent="0.35">
      <c r="A22" s="314"/>
      <c r="B22" s="314"/>
      <c r="C22" s="314"/>
      <c r="D22" s="314"/>
      <c r="E22" s="314"/>
      <c r="F22" s="314"/>
      <c r="G22" s="314"/>
      <c r="H22" s="314"/>
      <c r="I22" s="314"/>
      <c r="J22" s="314"/>
      <c r="K22" s="314"/>
      <c r="L22" s="314"/>
      <c r="M22" s="314"/>
      <c r="N22" s="314"/>
      <c r="O22" s="314"/>
      <c r="P22" s="314"/>
    </row>
    <row r="23" spans="1:16" ht="18" x14ac:dyDescent="0.35">
      <c r="A23" s="322" t="s">
        <v>1576</v>
      </c>
      <c r="B23" s="322"/>
      <c r="C23" s="322"/>
      <c r="D23" s="322"/>
      <c r="E23" s="322"/>
      <c r="F23" s="322"/>
      <c r="G23" s="322"/>
      <c r="H23" s="322"/>
      <c r="I23" s="322"/>
      <c r="J23" s="322"/>
      <c r="K23" s="322"/>
      <c r="L23" s="322"/>
      <c r="M23" s="322"/>
      <c r="N23" s="322"/>
      <c r="O23" s="322"/>
      <c r="P23" s="322"/>
    </row>
    <row r="24" spans="1:16" ht="18" x14ac:dyDescent="0.35">
      <c r="A24" s="314"/>
      <c r="B24" s="314"/>
      <c r="C24" s="314"/>
      <c r="D24" s="314"/>
      <c r="E24" s="314"/>
      <c r="F24" s="314"/>
      <c r="G24" s="314"/>
      <c r="H24" s="314"/>
      <c r="I24" s="314"/>
      <c r="J24" s="314"/>
      <c r="K24" s="314"/>
      <c r="L24" s="314"/>
      <c r="M24" s="314"/>
      <c r="N24" s="314"/>
      <c r="O24" s="314"/>
      <c r="P24" s="314"/>
    </row>
    <row r="25" spans="1:16" ht="18" x14ac:dyDescent="0.35">
      <c r="A25" s="321" t="s">
        <v>1695</v>
      </c>
      <c r="B25" s="321"/>
      <c r="C25" s="321"/>
      <c r="D25" s="321"/>
      <c r="E25" s="321"/>
      <c r="F25" s="321"/>
      <c r="G25" s="321"/>
      <c r="H25" s="321"/>
      <c r="I25" s="321"/>
      <c r="J25" s="321"/>
      <c r="K25" s="321"/>
      <c r="L25" s="321"/>
      <c r="M25" s="321"/>
      <c r="N25" s="321"/>
      <c r="O25" s="321"/>
      <c r="P25" s="321"/>
    </row>
    <row r="27" spans="1:16" ht="18" x14ac:dyDescent="0.35">
      <c r="A27" s="322" t="s">
        <v>1577</v>
      </c>
      <c r="B27" s="322"/>
      <c r="C27" s="322"/>
      <c r="D27" s="322"/>
      <c r="E27" s="322"/>
      <c r="F27" s="322"/>
      <c r="G27" s="322"/>
      <c r="H27" s="322"/>
      <c r="I27" s="322"/>
      <c r="J27" s="322"/>
      <c r="K27" s="322"/>
      <c r="L27" s="322"/>
      <c r="M27" s="322"/>
      <c r="N27" s="322"/>
      <c r="O27" s="322"/>
      <c r="P27" s="322"/>
    </row>
    <row r="28" spans="1:16" ht="18" x14ac:dyDescent="0.35">
      <c r="A28" s="322" t="s">
        <v>1578</v>
      </c>
      <c r="B28" s="322"/>
      <c r="C28" s="322"/>
      <c r="D28" s="322"/>
      <c r="E28" s="322"/>
      <c r="F28" s="322"/>
      <c r="G28" s="322"/>
      <c r="H28" s="322"/>
      <c r="I28" s="322"/>
      <c r="J28" s="322"/>
      <c r="K28" s="322"/>
      <c r="L28" s="322"/>
      <c r="M28" s="322"/>
      <c r="N28" s="322"/>
      <c r="O28" s="322"/>
      <c r="P28" s="322"/>
    </row>
    <row r="29" spans="1:16" ht="18" x14ac:dyDescent="0.35">
      <c r="A29" s="314" t="s">
        <v>1679</v>
      </c>
      <c r="B29" s="314"/>
      <c r="C29" s="314"/>
      <c r="D29" s="314"/>
      <c r="E29" s="314"/>
      <c r="F29" s="314"/>
      <c r="G29" s="314"/>
      <c r="H29" s="314"/>
      <c r="I29" s="314"/>
      <c r="J29" s="314"/>
      <c r="K29" s="314"/>
      <c r="L29" s="314"/>
      <c r="M29" s="314"/>
      <c r="N29" s="314"/>
      <c r="O29" s="314"/>
      <c r="P29" s="314"/>
    </row>
    <row r="30" spans="1:16" ht="18" x14ac:dyDescent="0.35">
      <c r="A30" s="235"/>
      <c r="B30" s="235"/>
      <c r="C30" s="235"/>
      <c r="D30" s="235"/>
      <c r="E30" s="235"/>
      <c r="F30" s="235"/>
      <c r="G30" s="235"/>
      <c r="H30" s="235"/>
      <c r="I30" s="235"/>
      <c r="J30" s="235"/>
      <c r="K30" s="235"/>
      <c r="L30" s="235"/>
      <c r="M30" s="235"/>
      <c r="N30" s="235"/>
      <c r="O30" s="235"/>
      <c r="P30" s="235"/>
    </row>
    <row r="31" spans="1:16" ht="18" x14ac:dyDescent="0.35">
      <c r="A31" s="235"/>
      <c r="B31" s="235"/>
      <c r="C31" s="235"/>
      <c r="D31" s="235"/>
      <c r="E31" s="235"/>
      <c r="F31" s="235"/>
      <c r="G31" s="235"/>
      <c r="H31" s="235"/>
      <c r="I31" s="235"/>
      <c r="J31" s="235"/>
      <c r="K31" s="235"/>
      <c r="L31" s="235"/>
      <c r="M31" s="235"/>
      <c r="N31" s="235"/>
      <c r="O31" s="235"/>
      <c r="P31" s="235"/>
    </row>
    <row r="32" spans="1:16" ht="18" x14ac:dyDescent="0.35">
      <c r="A32" s="319" t="s">
        <v>1579</v>
      </c>
      <c r="B32" s="319"/>
      <c r="C32" s="319"/>
      <c r="D32" s="319"/>
      <c r="E32" s="319"/>
      <c r="F32" s="319"/>
      <c r="G32" s="319"/>
      <c r="H32" s="319"/>
      <c r="I32" s="319"/>
      <c r="J32" s="319"/>
      <c r="K32" s="319"/>
      <c r="L32" s="319"/>
      <c r="M32" s="319"/>
      <c r="N32" s="319"/>
      <c r="O32" s="319"/>
      <c r="P32" s="319"/>
    </row>
    <row r="33" spans="1:19" ht="18" x14ac:dyDescent="0.35">
      <c r="A33" s="236"/>
      <c r="B33" s="236"/>
      <c r="C33" s="236"/>
      <c r="D33" s="236"/>
      <c r="E33" s="236"/>
      <c r="F33" s="236"/>
      <c r="G33" s="236"/>
      <c r="H33" s="236"/>
      <c r="I33" s="236"/>
      <c r="J33" s="236"/>
      <c r="K33" s="236"/>
      <c r="L33" s="236"/>
      <c r="M33" s="236"/>
      <c r="N33" s="236"/>
      <c r="O33" s="236"/>
      <c r="P33" s="236"/>
    </row>
    <row r="34" spans="1:19" ht="18" x14ac:dyDescent="0.35">
      <c r="A34" s="314" t="s">
        <v>1706</v>
      </c>
      <c r="B34" s="314"/>
      <c r="C34" s="314"/>
      <c r="D34" s="314"/>
      <c r="E34" s="314"/>
      <c r="F34" s="314"/>
      <c r="G34" s="314"/>
      <c r="H34" s="314"/>
      <c r="I34" s="314"/>
      <c r="J34" s="314"/>
      <c r="K34" s="314"/>
      <c r="L34" s="314"/>
      <c r="M34" s="314"/>
      <c r="N34" s="314"/>
      <c r="O34" s="314"/>
      <c r="P34" s="314"/>
    </row>
    <row r="35" spans="1:19" ht="18" x14ac:dyDescent="0.35">
      <c r="D35" s="279" t="s">
        <v>1769</v>
      </c>
      <c r="E35" s="280"/>
      <c r="F35" s="280"/>
      <c r="G35" s="280"/>
      <c r="H35" s="280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</row>
    <row r="36" spans="1:19" ht="18" x14ac:dyDescent="0.35">
      <c r="D36" s="285" t="s">
        <v>1770</v>
      </c>
    </row>
    <row r="37" spans="1:19" ht="18" x14ac:dyDescent="0.35">
      <c r="A37" s="23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9" ht="18" x14ac:dyDescent="0.35">
      <c r="A38" s="314" t="s">
        <v>1707</v>
      </c>
      <c r="B38" s="314"/>
      <c r="C38" s="314"/>
      <c r="D38" s="314"/>
      <c r="E38" s="314"/>
      <c r="F38" s="314"/>
      <c r="G38" s="314"/>
      <c r="H38" s="314"/>
      <c r="I38" s="314"/>
      <c r="J38" s="314"/>
      <c r="K38" s="314"/>
      <c r="L38" s="314"/>
      <c r="M38" s="314"/>
      <c r="N38" s="314"/>
      <c r="O38" s="314"/>
      <c r="P38" s="314"/>
    </row>
    <row r="39" spans="1:19" ht="18" x14ac:dyDescent="0.35">
      <c r="B39" s="2"/>
      <c r="C39" s="2"/>
      <c r="D39" s="279" t="s">
        <v>1768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9" ht="18" x14ac:dyDescent="0.35">
      <c r="B40" s="2"/>
      <c r="C40" s="2"/>
      <c r="D40" s="279" t="s">
        <v>1766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9" ht="18" x14ac:dyDescent="0.35">
      <c r="B41" s="235"/>
      <c r="C41" s="235"/>
      <c r="D41" s="279" t="s">
        <v>1767</v>
      </c>
      <c r="E41" s="235"/>
      <c r="F41" s="235"/>
      <c r="G41" s="235"/>
      <c r="H41" s="235"/>
      <c r="I41" s="235"/>
      <c r="J41" s="235"/>
      <c r="K41" s="235"/>
      <c r="L41" s="235"/>
      <c r="M41" s="235"/>
      <c r="N41" s="235"/>
      <c r="O41" s="235"/>
      <c r="P41" s="235"/>
    </row>
    <row r="42" spans="1:19" ht="18" x14ac:dyDescent="0.35">
      <c r="A42" s="314"/>
      <c r="B42" s="315"/>
      <c r="C42" s="315"/>
      <c r="D42" s="315"/>
      <c r="E42" s="315"/>
      <c r="F42" s="315"/>
      <c r="G42" s="315"/>
      <c r="H42" s="315"/>
      <c r="I42" s="315"/>
      <c r="J42" s="315"/>
      <c r="K42" s="315"/>
      <c r="L42" s="315"/>
      <c r="M42" s="315"/>
      <c r="N42" s="315"/>
      <c r="O42" s="315"/>
      <c r="P42" s="315"/>
    </row>
    <row r="43" spans="1:19" ht="18" x14ac:dyDescent="0.35">
      <c r="A43" s="235"/>
      <c r="B43" s="235"/>
      <c r="C43" s="235"/>
      <c r="D43" s="235"/>
      <c r="E43" s="235"/>
      <c r="F43" s="235"/>
      <c r="G43" s="235"/>
      <c r="H43" s="235"/>
      <c r="I43" s="235"/>
      <c r="J43" s="235"/>
      <c r="K43" s="235"/>
      <c r="L43" s="235"/>
      <c r="M43" s="235"/>
      <c r="N43" s="235"/>
      <c r="O43" s="235"/>
      <c r="P43" s="235"/>
    </row>
    <row r="44" spans="1:19" ht="18" x14ac:dyDescent="0.35">
      <c r="A44" s="314" t="s">
        <v>1580</v>
      </c>
      <c r="B44" s="314"/>
      <c r="C44" s="314"/>
      <c r="D44" s="314"/>
      <c r="E44" s="314"/>
      <c r="F44" s="314"/>
      <c r="G44" s="314"/>
      <c r="H44" s="314"/>
      <c r="I44" s="314"/>
      <c r="J44" s="314"/>
      <c r="K44" s="314"/>
      <c r="L44" s="314"/>
      <c r="M44" s="314"/>
      <c r="N44" s="314"/>
      <c r="O44" s="314"/>
    </row>
    <row r="45" spans="1:19" s="242" customFormat="1" ht="18" x14ac:dyDescent="0.35">
      <c r="A45" s="316" t="s">
        <v>1681</v>
      </c>
      <c r="B45" s="316"/>
      <c r="C45" s="316"/>
      <c r="D45" s="316"/>
      <c r="E45" s="316"/>
      <c r="F45" s="316"/>
      <c r="G45" s="316"/>
      <c r="H45" s="316"/>
      <c r="I45" s="316"/>
      <c r="J45" s="316"/>
      <c r="K45" s="316"/>
      <c r="L45" s="316"/>
      <c r="M45" s="316"/>
      <c r="N45" s="316"/>
      <c r="O45" s="316"/>
      <c r="P45" s="316"/>
    </row>
    <row r="46" spans="1:19" s="242" customFormat="1" ht="18" x14ac:dyDescent="0.35">
      <c r="A46" s="316" t="s">
        <v>1708</v>
      </c>
      <c r="B46" s="315"/>
      <c r="C46" s="315"/>
      <c r="D46" s="315"/>
      <c r="E46" s="315"/>
      <c r="F46" s="315"/>
      <c r="G46" s="315"/>
      <c r="H46" s="315"/>
      <c r="I46" s="315"/>
      <c r="J46" s="315"/>
      <c r="K46" s="315"/>
      <c r="L46" s="315"/>
      <c r="M46" s="315"/>
      <c r="N46" s="315"/>
      <c r="O46" s="315"/>
      <c r="P46" s="315"/>
    </row>
    <row r="47" spans="1:19" s="242" customFormat="1" ht="18" x14ac:dyDescent="0.35">
      <c r="A47" s="316" t="s">
        <v>1682</v>
      </c>
      <c r="B47" s="315"/>
      <c r="C47" s="315"/>
      <c r="D47" s="315"/>
      <c r="E47" s="315"/>
      <c r="F47" s="315"/>
      <c r="G47" s="315"/>
      <c r="H47" s="315"/>
      <c r="I47" s="315"/>
      <c r="J47" s="315"/>
      <c r="K47" s="315"/>
      <c r="L47" s="315"/>
      <c r="M47" s="315"/>
      <c r="N47" s="315"/>
      <c r="O47" s="315"/>
      <c r="P47" s="315"/>
    </row>
    <row r="48" spans="1:19" ht="18" x14ac:dyDescent="0.35">
      <c r="A48" s="243"/>
      <c r="B48" s="238"/>
      <c r="C48" s="238"/>
      <c r="D48" s="238"/>
      <c r="E48" s="238"/>
      <c r="F48" s="238"/>
      <c r="G48" s="238"/>
      <c r="H48" s="238"/>
      <c r="I48" s="238"/>
      <c r="J48" s="238"/>
      <c r="K48" s="238"/>
      <c r="L48" s="238"/>
      <c r="M48" s="238"/>
      <c r="N48" s="238"/>
      <c r="O48" s="238"/>
    </row>
    <row r="49" spans="1:17" ht="21" x14ac:dyDescent="0.4">
      <c r="A49" s="317" t="s">
        <v>1705</v>
      </c>
      <c r="B49" s="318"/>
      <c r="C49" s="318"/>
      <c r="D49" s="318"/>
      <c r="E49" s="318"/>
      <c r="F49" s="318"/>
      <c r="G49" s="318"/>
      <c r="H49" s="318"/>
      <c r="I49" s="318"/>
      <c r="J49" s="318"/>
      <c r="K49" s="318"/>
      <c r="L49" s="318"/>
      <c r="M49" s="318"/>
      <c r="N49" s="318"/>
      <c r="O49" s="318"/>
      <c r="P49" s="318"/>
    </row>
    <row r="50" spans="1:17" ht="18" x14ac:dyDescent="0.35">
      <c r="A50" s="314" t="s">
        <v>1746</v>
      </c>
      <c r="B50" s="314"/>
      <c r="C50" s="314"/>
      <c r="D50" s="314"/>
      <c r="E50" s="314"/>
      <c r="F50" s="314"/>
      <c r="G50" s="314"/>
      <c r="H50" s="314"/>
      <c r="I50" s="314"/>
      <c r="J50" s="314"/>
      <c r="K50" s="314"/>
      <c r="L50" s="314"/>
      <c r="M50" s="314"/>
      <c r="N50" s="314"/>
      <c r="O50" s="315"/>
      <c r="P50" s="315"/>
    </row>
    <row r="51" spans="1:17" s="273" customFormat="1" ht="18" x14ac:dyDescent="0.35">
      <c r="A51" s="314" t="s">
        <v>1670</v>
      </c>
      <c r="B51" s="314"/>
      <c r="C51" s="314"/>
      <c r="D51" s="314"/>
      <c r="E51" s="314"/>
      <c r="F51" s="314"/>
      <c r="G51" s="314"/>
      <c r="H51" s="314"/>
      <c r="I51" s="314"/>
      <c r="J51" s="314"/>
      <c r="K51" s="314"/>
      <c r="L51" s="314"/>
      <c r="M51" s="314"/>
      <c r="N51" s="314"/>
      <c r="O51" s="315"/>
      <c r="P51" s="315"/>
    </row>
    <row r="52" spans="1:17" ht="18" x14ac:dyDescent="0.35">
      <c r="A52" s="314" t="s">
        <v>1671</v>
      </c>
      <c r="B52" s="314"/>
      <c r="C52" s="314"/>
      <c r="D52" s="314"/>
      <c r="E52" s="314"/>
      <c r="F52" s="314"/>
      <c r="G52" s="314"/>
      <c r="H52" s="314"/>
      <c r="I52" s="314"/>
      <c r="J52" s="314"/>
      <c r="K52" s="314"/>
      <c r="L52" s="314"/>
      <c r="M52" s="314"/>
      <c r="N52" s="314"/>
      <c r="O52" s="315"/>
      <c r="P52" s="315"/>
    </row>
    <row r="53" spans="1:17" ht="18" x14ac:dyDescent="0.35">
      <c r="A53" s="235"/>
      <c r="B53" s="235"/>
      <c r="C53" s="235"/>
      <c r="D53" s="235"/>
      <c r="E53" s="235"/>
      <c r="F53" s="235"/>
      <c r="G53" s="235"/>
      <c r="H53" s="235"/>
      <c r="I53" s="235"/>
      <c r="J53" s="235"/>
      <c r="K53" s="235"/>
      <c r="L53" s="235"/>
      <c r="M53" s="235"/>
      <c r="N53" s="235"/>
      <c r="O53" s="235"/>
      <c r="P53" s="235"/>
    </row>
    <row r="54" spans="1:17" s="273" customFormat="1" ht="18" x14ac:dyDescent="0.35">
      <c r="A54" s="314" t="s">
        <v>1747</v>
      </c>
      <c r="B54" s="314"/>
      <c r="C54" s="314"/>
      <c r="D54" s="314"/>
      <c r="E54" s="314"/>
      <c r="F54" s="314"/>
      <c r="G54" s="314"/>
      <c r="H54" s="314"/>
      <c r="I54" s="314"/>
      <c r="J54" s="314"/>
      <c r="K54" s="314"/>
      <c r="L54" s="314"/>
      <c r="M54" s="314"/>
      <c r="N54" s="314"/>
      <c r="O54" s="315"/>
      <c r="P54" s="315"/>
    </row>
    <row r="55" spans="1:17" s="273" customFormat="1" ht="18" x14ac:dyDescent="0.35">
      <c r="A55" s="314" t="s">
        <v>1748</v>
      </c>
      <c r="B55" s="314"/>
      <c r="C55" s="314"/>
      <c r="D55" s="314"/>
      <c r="E55" s="314"/>
      <c r="F55" s="314"/>
      <c r="G55" s="314"/>
      <c r="H55" s="314"/>
      <c r="I55" s="314"/>
      <c r="J55" s="314"/>
      <c r="K55" s="314"/>
      <c r="L55" s="314"/>
      <c r="M55" s="314"/>
      <c r="N55" s="314"/>
      <c r="O55" s="315"/>
      <c r="P55" s="315"/>
    </row>
    <row r="56" spans="1:17" x14ac:dyDescent="0.3">
      <c r="A56" s="324" t="s">
        <v>1571</v>
      </c>
      <c r="B56" s="324"/>
      <c r="C56" s="324"/>
      <c r="D56" s="324"/>
      <c r="E56" s="324"/>
      <c r="F56" s="324"/>
      <c r="G56" s="324"/>
      <c r="H56" s="324"/>
      <c r="I56" s="324"/>
      <c r="J56" s="324"/>
      <c r="K56" s="324"/>
      <c r="L56" s="324"/>
      <c r="M56" s="324"/>
      <c r="N56" s="324"/>
      <c r="O56" s="324"/>
      <c r="P56" s="324"/>
    </row>
    <row r="58" spans="1:17" ht="18" x14ac:dyDescent="0.35">
      <c r="A58" s="319" t="s">
        <v>1704</v>
      </c>
      <c r="B58" s="319"/>
      <c r="C58" s="319"/>
      <c r="D58" s="319"/>
      <c r="E58" s="319"/>
      <c r="F58" s="319"/>
      <c r="G58" s="319"/>
      <c r="H58" s="319"/>
      <c r="I58" s="319"/>
      <c r="J58" s="319"/>
      <c r="K58" s="319"/>
      <c r="L58" s="319"/>
      <c r="M58" s="319"/>
      <c r="N58" s="319"/>
      <c r="O58" s="319"/>
      <c r="P58" s="319"/>
    </row>
    <row r="59" spans="1:17" ht="18" x14ac:dyDescent="0.35">
      <c r="A59" s="323"/>
      <c r="B59" s="323"/>
      <c r="C59" s="323"/>
      <c r="D59" s="323"/>
      <c r="E59" s="323"/>
      <c r="F59" s="323"/>
      <c r="G59" s="323"/>
      <c r="H59" s="323"/>
      <c r="I59" s="323"/>
      <c r="J59" s="323"/>
      <c r="K59" s="323"/>
      <c r="L59" s="323"/>
      <c r="M59" s="323"/>
      <c r="N59" s="323"/>
      <c r="O59" s="323"/>
      <c r="P59" s="235"/>
    </row>
    <row r="60" spans="1:17" ht="18" x14ac:dyDescent="0.35">
      <c r="A60" s="314" t="s">
        <v>1771</v>
      </c>
      <c r="B60" s="314"/>
      <c r="C60" s="314"/>
      <c r="D60" s="314"/>
      <c r="E60" s="314"/>
      <c r="F60" s="314"/>
      <c r="G60" s="314"/>
      <c r="H60" s="314"/>
      <c r="I60" s="314"/>
      <c r="J60" s="314"/>
      <c r="K60" s="314"/>
      <c r="L60" s="314"/>
      <c r="M60" s="314"/>
      <c r="N60" s="314"/>
      <c r="O60" s="315"/>
      <c r="P60" s="315"/>
    </row>
    <row r="61" spans="1:17" ht="18" x14ac:dyDescent="0.35">
      <c r="B61" s="2"/>
      <c r="C61" s="2"/>
      <c r="D61" s="2"/>
      <c r="E61" s="2"/>
      <c r="F61" s="279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ht="18" x14ac:dyDescent="0.35">
      <c r="B62" s="2"/>
      <c r="C62" s="2"/>
      <c r="D62" s="2"/>
      <c r="E62" s="2"/>
      <c r="F62" s="279" t="s">
        <v>1709</v>
      </c>
      <c r="G62" s="2"/>
      <c r="H62" s="2"/>
      <c r="I62" s="2"/>
      <c r="J62" s="281"/>
    </row>
    <row r="63" spans="1:17" ht="18" x14ac:dyDescent="0.35">
      <c r="B63" s="235"/>
      <c r="C63" s="235"/>
      <c r="F63" s="237" t="s">
        <v>1703</v>
      </c>
      <c r="G63" s="235"/>
      <c r="H63" s="235"/>
      <c r="I63" s="235"/>
      <c r="J63" s="235"/>
      <c r="K63" s="235"/>
      <c r="L63" s="235"/>
      <c r="M63" s="235"/>
      <c r="N63" s="235"/>
      <c r="O63" s="235"/>
      <c r="P63" s="2"/>
      <c r="Q63" s="235"/>
    </row>
  </sheetData>
  <sheetProtection algorithmName="SHA-512" hashValue="lF5OKE1FaBhV4dDTpFhhDukh/V2eea9oK1J0GmzI7JQ9EMsxFcEP5oFMzcxwxXYoit2e8DyBaLIVHtA/VvbI1w==" saltValue="wwlRlpBqUTITVt99kN7QZg==" spinCount="100000" sheet="1" objects="1" scenarios="1"/>
  <mergeCells count="39">
    <mergeCell ref="A1:P1"/>
    <mergeCell ref="A56:P56"/>
    <mergeCell ref="A23:P23"/>
    <mergeCell ref="A22:P22"/>
    <mergeCell ref="A6:N6"/>
    <mergeCell ref="A14:P14"/>
    <mergeCell ref="A2:Q2"/>
    <mergeCell ref="A3:Q3"/>
    <mergeCell ref="A7:N7"/>
    <mergeCell ref="A8:P8"/>
    <mergeCell ref="A15:P15"/>
    <mergeCell ref="A16:N16"/>
    <mergeCell ref="A29:P29"/>
    <mergeCell ref="A32:P32"/>
    <mergeCell ref="A44:O44"/>
    <mergeCell ref="A42:P42"/>
    <mergeCell ref="A55:P55"/>
    <mergeCell ref="A58:P58"/>
    <mergeCell ref="A17:P17"/>
    <mergeCell ref="A60:P60"/>
    <mergeCell ref="A18:P18"/>
    <mergeCell ref="A19:P19"/>
    <mergeCell ref="A20:P20"/>
    <mergeCell ref="A21:P21"/>
    <mergeCell ref="A25:P25"/>
    <mergeCell ref="A27:P27"/>
    <mergeCell ref="A24:P24"/>
    <mergeCell ref="A28:P28"/>
    <mergeCell ref="A45:P45"/>
    <mergeCell ref="A34:P34"/>
    <mergeCell ref="A38:P38"/>
    <mergeCell ref="A59:O59"/>
    <mergeCell ref="A52:P52"/>
    <mergeCell ref="A54:P54"/>
    <mergeCell ref="A46:P46"/>
    <mergeCell ref="A47:P47"/>
    <mergeCell ref="A50:P50"/>
    <mergeCell ref="A51:P51"/>
    <mergeCell ref="A49:P49"/>
  </mergeCells>
  <hyperlinks>
    <hyperlink ref="A56:P56" r:id="rId1" display="https://intranet-dcaf.cirad.fr/les-formulaires" xr:uid="{00000000-0004-0000-0000-000000000000}"/>
  </hyperlinks>
  <printOptions horizontalCentered="1" verticalCentered="1"/>
  <pageMargins left="3.937007874015748E-2" right="3.937007874015748E-2" top="0.15748031496062992" bottom="0.15748031496062992" header="0" footer="0"/>
  <pageSetup paperSize="9" scale="42" orientation="portrait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06"/>
  <sheetViews>
    <sheetView showGridLines="0" topLeftCell="A44" zoomScale="84" zoomScaleNormal="100" zoomScaleSheetLayoutView="70" workbookViewId="0">
      <selection activeCell="Q57" sqref="Q57:S57"/>
    </sheetView>
  </sheetViews>
  <sheetFormatPr defaultColWidth="11.44140625" defaultRowHeight="13.2" zeroHeight="1" x14ac:dyDescent="0.3"/>
  <cols>
    <col min="1" max="1" width="1.88671875" style="1" customWidth="1"/>
    <col min="2" max="2" width="6.33203125" style="1" customWidth="1"/>
    <col min="3" max="3" width="7" style="1" customWidth="1"/>
    <col min="4" max="19" width="6.33203125" style="1" customWidth="1"/>
    <col min="20" max="20" width="1.44140625" style="1" customWidth="1"/>
    <col min="21" max="34" width="11.44140625" style="1" hidden="1" customWidth="1"/>
    <col min="35" max="41" width="0" style="1" hidden="1" customWidth="1"/>
    <col min="42" max="16384" width="11.44140625" style="1"/>
  </cols>
  <sheetData>
    <row r="1" spans="1:29" ht="6.75" customHeight="1" x14ac:dyDescent="0.3"/>
    <row r="2" spans="1:29" ht="15" customHeight="1" x14ac:dyDescent="0.3">
      <c r="B2" s="3"/>
      <c r="C2" s="3"/>
      <c r="D2" s="3"/>
      <c r="E2" s="446" t="s">
        <v>479</v>
      </c>
      <c r="F2" s="446"/>
      <c r="G2" s="446"/>
      <c r="H2" s="446"/>
      <c r="I2" s="446"/>
      <c r="J2" s="446"/>
      <c r="K2" s="446"/>
      <c r="L2" s="446"/>
      <c r="M2" s="446"/>
      <c r="N2" s="446"/>
      <c r="O2" s="446"/>
      <c r="P2" s="3"/>
      <c r="Q2" s="447" t="s">
        <v>548</v>
      </c>
      <c r="R2" s="448"/>
      <c r="S2" s="449"/>
      <c r="T2" s="3"/>
      <c r="U2" s="3"/>
    </row>
    <row r="3" spans="1:29" ht="18.600000000000001" customHeight="1" x14ac:dyDescent="0.3">
      <c r="B3" s="3"/>
      <c r="C3" s="3"/>
      <c r="D3" s="3"/>
      <c r="E3" s="446"/>
      <c r="F3" s="446"/>
      <c r="G3" s="446"/>
      <c r="H3" s="446"/>
      <c r="I3" s="446"/>
      <c r="J3" s="446"/>
      <c r="K3" s="446"/>
      <c r="L3" s="446"/>
      <c r="M3" s="446"/>
      <c r="N3" s="446"/>
      <c r="O3" s="446"/>
      <c r="P3" s="3"/>
      <c r="Q3" s="450" t="s">
        <v>1777</v>
      </c>
      <c r="R3" s="451"/>
      <c r="S3" s="452"/>
      <c r="T3" s="3"/>
      <c r="U3" s="3"/>
      <c r="Z3" s="224"/>
    </row>
    <row r="4" spans="1:29" ht="30" customHeight="1" x14ac:dyDescent="0.3">
      <c r="B4" s="327" t="s">
        <v>1678</v>
      </c>
      <c r="C4" s="327" t="s">
        <v>1678</v>
      </c>
      <c r="D4" s="327" t="s">
        <v>293</v>
      </c>
      <c r="E4" s="327"/>
      <c r="F4" s="327" t="s">
        <v>402</v>
      </c>
      <c r="G4" s="327"/>
      <c r="H4" s="327"/>
      <c r="I4" s="327"/>
      <c r="J4" s="327"/>
      <c r="K4" s="327"/>
      <c r="L4" s="327"/>
      <c r="M4" s="327"/>
      <c r="N4" s="453" t="s">
        <v>1</v>
      </c>
      <c r="O4" s="453"/>
      <c r="P4" s="460" t="s">
        <v>292</v>
      </c>
      <c r="Q4" s="461"/>
      <c r="R4" s="460" t="s">
        <v>1693</v>
      </c>
      <c r="S4" s="461"/>
      <c r="T4" s="3"/>
      <c r="U4" s="3"/>
    </row>
    <row r="5" spans="1:29" s="38" customFormat="1" ht="21.6" customHeight="1" x14ac:dyDescent="0.3">
      <c r="A5" s="328" t="str">
        <f>W5</f>
        <v>A10821-24-111</v>
      </c>
      <c r="B5" s="329"/>
      <c r="C5" s="330"/>
      <c r="D5" s="454" t="str">
        <f>IF(ISNA(VLOOKUP(LEFT(F5,1),'Liste Structure'!H2:I5,2,FALSE)),"",VLOOKUP(LEFT(F5,1),'Liste Structure'!H2:I5,2,FALSE))</f>
        <v>Bios</v>
      </c>
      <c r="E5" s="454"/>
      <c r="F5" s="455" t="s">
        <v>1778</v>
      </c>
      <c r="G5" s="456"/>
      <c r="H5" s="456"/>
      <c r="I5" s="456"/>
      <c r="J5" s="456"/>
      <c r="K5" s="456"/>
      <c r="L5" s="456"/>
      <c r="M5" s="457"/>
      <c r="N5" s="454">
        <f>IF(N16="","",YEAR(N16))</f>
        <v>2024</v>
      </c>
      <c r="O5" s="454"/>
      <c r="P5" s="458">
        <v>111</v>
      </c>
      <c r="Q5" s="459"/>
      <c r="R5" s="458"/>
      <c r="S5" s="462"/>
      <c r="T5" s="4"/>
      <c r="U5" s="4"/>
      <c r="W5" s="197" t="str">
        <f>IF(ISNA(INDEX('Liste Structure'!A2:D129,MATCH(ODM!F5,'Liste Structure'!C2:C129,0),1)&amp;"-"&amp;P5),"",INDEX('Liste Structure'!A2:D129,MATCH(ODM!F5,'Liste Structure'!C2:C129,0),1)&amp;"-"&amp;RIGHT(N5,2)&amp;"-"&amp;REPT("0",(3-LEN(P5)))&amp;P5&amp;LEFT(R5,2))</f>
        <v>A10821-24-111</v>
      </c>
    </row>
    <row r="6" spans="1:29" s="38" customFormat="1" ht="8.1" customHeight="1" x14ac:dyDescent="0.3">
      <c r="B6" s="4"/>
      <c r="C6" s="4"/>
      <c r="D6" s="4"/>
      <c r="E6" s="39"/>
      <c r="F6" s="39"/>
      <c r="G6" s="4"/>
      <c r="H6" s="4"/>
      <c r="I6" s="4"/>
      <c r="J6" s="4"/>
      <c r="K6" s="4"/>
      <c r="L6" s="40"/>
      <c r="M6" s="40"/>
      <c r="N6" s="40"/>
      <c r="O6" s="40"/>
      <c r="P6" s="4"/>
      <c r="Q6" s="4"/>
      <c r="R6" s="4"/>
      <c r="S6" s="4"/>
      <c r="T6" s="4"/>
      <c r="U6" s="5"/>
    </row>
    <row r="7" spans="1:29" ht="20.399999999999999" customHeight="1" x14ac:dyDescent="0.3">
      <c r="B7" s="17" t="s">
        <v>894</v>
      </c>
      <c r="C7" s="17"/>
      <c r="D7" s="463">
        <v>30392</v>
      </c>
      <c r="E7" s="463"/>
      <c r="F7" s="427"/>
      <c r="G7" s="427"/>
      <c r="H7" s="427" t="s">
        <v>1548</v>
      </c>
      <c r="I7" s="427"/>
      <c r="J7" s="477" t="s">
        <v>1757</v>
      </c>
      <c r="K7" s="477"/>
      <c r="L7" s="477"/>
      <c r="M7" s="477"/>
      <c r="N7" s="477"/>
      <c r="O7" s="477"/>
      <c r="P7" s="477"/>
      <c r="Q7" s="477"/>
      <c r="R7" s="477"/>
      <c r="S7" s="477"/>
      <c r="T7" s="3"/>
      <c r="U7" s="3"/>
      <c r="V7" s="18" t="s">
        <v>901</v>
      </c>
      <c r="W7" s="181" t="str">
        <f>IF(ISBLANK(J7),"",VLOOKUP(J7,'autres ldv'!J47:M62,4,FALSE))</f>
        <v>ALLR</v>
      </c>
    </row>
    <row r="8" spans="1:29" ht="3.75" customHeight="1" x14ac:dyDescent="0.3">
      <c r="B8" s="18"/>
      <c r="C8" s="41"/>
      <c r="D8" s="41"/>
      <c r="E8" s="41"/>
      <c r="F8" s="41"/>
      <c r="G8" s="41"/>
      <c r="H8" s="18"/>
      <c r="I8" s="18"/>
      <c r="J8" s="41"/>
      <c r="K8" s="41"/>
      <c r="L8" s="41"/>
      <c r="M8" s="41"/>
      <c r="N8" s="41"/>
      <c r="O8" s="3"/>
      <c r="P8" s="3"/>
      <c r="Q8" s="3"/>
      <c r="R8" s="42"/>
      <c r="S8" s="42"/>
      <c r="T8" s="3"/>
      <c r="U8" s="3"/>
    </row>
    <row r="9" spans="1:29" ht="20.399999999999999" customHeight="1" x14ac:dyDescent="0.3">
      <c r="B9" s="17" t="s">
        <v>2</v>
      </c>
      <c r="C9" s="41"/>
      <c r="D9" s="468" t="s">
        <v>1779</v>
      </c>
      <c r="E9" s="468"/>
      <c r="F9" s="468"/>
      <c r="G9" s="468"/>
      <c r="H9" s="468"/>
      <c r="I9" s="468"/>
      <c r="J9" s="468"/>
      <c r="L9" s="18" t="s">
        <v>895</v>
      </c>
      <c r="M9" s="468" t="s">
        <v>1780</v>
      </c>
      <c r="N9" s="468"/>
      <c r="O9" s="468"/>
      <c r="P9" s="468"/>
      <c r="Q9" s="468"/>
      <c r="R9" s="468"/>
      <c r="S9" s="468"/>
      <c r="T9" s="3"/>
      <c r="U9" s="3"/>
    </row>
    <row r="10" spans="1:29" ht="3.75" customHeight="1" x14ac:dyDescent="0.3">
      <c r="B10" s="18"/>
      <c r="C10" s="41"/>
      <c r="D10" s="41"/>
      <c r="E10" s="41"/>
      <c r="F10" s="41"/>
      <c r="G10" s="41"/>
      <c r="H10" s="18"/>
      <c r="I10" s="18"/>
      <c r="J10" s="41"/>
      <c r="K10" s="41"/>
      <c r="L10" s="41"/>
      <c r="M10" s="41"/>
      <c r="N10" s="41"/>
      <c r="O10" s="3"/>
      <c r="P10" s="3"/>
      <c r="Q10" s="3"/>
      <c r="R10" s="42"/>
      <c r="S10" s="42"/>
      <c r="T10" s="3"/>
      <c r="U10" s="3"/>
    </row>
    <row r="11" spans="1:29" ht="20.100000000000001" customHeight="1" x14ac:dyDescent="0.3">
      <c r="B11" s="23" t="s">
        <v>251</v>
      </c>
      <c r="E11" s="175"/>
      <c r="F11" s="469" t="s">
        <v>1563</v>
      </c>
      <c r="G11" s="469"/>
      <c r="H11" s="469"/>
      <c r="I11" s="469"/>
      <c r="J11" s="469"/>
      <c r="K11" s="174"/>
      <c r="L11" s="174"/>
      <c r="M11" s="174"/>
      <c r="N11" s="175" t="s">
        <v>539</v>
      </c>
      <c r="O11" s="174"/>
      <c r="P11" s="469" t="s">
        <v>1563</v>
      </c>
      <c r="Q11" s="469"/>
      <c r="R11" s="469"/>
      <c r="S11" s="469"/>
      <c r="T11" s="3"/>
      <c r="U11" s="3"/>
    </row>
    <row r="12" spans="1:29" ht="8.1" customHeight="1" x14ac:dyDescent="0.3">
      <c r="B12" s="19"/>
      <c r="I12" s="18"/>
      <c r="J12" s="26"/>
      <c r="K12" s="26"/>
      <c r="L12" s="26"/>
      <c r="M12" s="26"/>
      <c r="N12" s="26"/>
      <c r="O12" s="3"/>
      <c r="P12" s="3"/>
      <c r="Q12" s="17"/>
      <c r="R12" s="17"/>
      <c r="S12" s="17"/>
      <c r="T12" s="3"/>
      <c r="U12" s="3"/>
    </row>
    <row r="13" spans="1:29" ht="24" customHeight="1" x14ac:dyDescent="0.3">
      <c r="B13" s="3"/>
      <c r="C13" s="18" t="s">
        <v>248</v>
      </c>
      <c r="D13" s="343" t="s">
        <v>1782</v>
      </c>
      <c r="E13" s="343"/>
      <c r="F13" s="343"/>
      <c r="G13" s="343"/>
      <c r="H13" s="343"/>
      <c r="I13" s="343"/>
      <c r="J13" s="343"/>
      <c r="K13" s="343"/>
      <c r="L13" s="343"/>
      <c r="M13" s="343"/>
      <c r="N13" s="343"/>
      <c r="O13" s="343"/>
      <c r="P13" s="343"/>
      <c r="Q13" s="343"/>
      <c r="R13" s="343"/>
      <c r="S13" s="343"/>
      <c r="T13" s="3"/>
      <c r="U13" s="3"/>
    </row>
    <row r="14" spans="1:29" ht="8.1" customHeight="1" thickBot="1" x14ac:dyDescent="0.3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P14" s="3"/>
      <c r="Q14" s="3"/>
      <c r="R14" s="3"/>
      <c r="T14" s="3"/>
      <c r="U14" s="5"/>
    </row>
    <row r="15" spans="1:29" ht="16.350000000000001" customHeight="1" x14ac:dyDescent="0.3">
      <c r="B15" s="467" t="s">
        <v>7</v>
      </c>
      <c r="C15" s="467"/>
      <c r="D15" s="467" t="s">
        <v>8</v>
      </c>
      <c r="E15" s="467"/>
      <c r="F15" s="467"/>
      <c r="G15" s="467"/>
      <c r="H15" s="467" t="s">
        <v>536</v>
      </c>
      <c r="I15" s="467"/>
      <c r="J15" s="467"/>
      <c r="K15" s="467"/>
      <c r="L15" s="467" t="s">
        <v>11</v>
      </c>
      <c r="M15" s="467"/>
      <c r="N15" s="467" t="s">
        <v>12</v>
      </c>
      <c r="O15" s="467"/>
      <c r="P15" s="480" t="s">
        <v>310</v>
      </c>
      <c r="Q15" s="480"/>
      <c r="R15" s="480"/>
      <c r="S15" s="480"/>
      <c r="T15" s="3"/>
      <c r="U15" s="46"/>
      <c r="W15" s="182" t="s">
        <v>899</v>
      </c>
      <c r="X15" s="184" t="s">
        <v>429</v>
      </c>
      <c r="Y15" s="183" t="s">
        <v>900</v>
      </c>
      <c r="AA15" s="182" t="s">
        <v>277</v>
      </c>
      <c r="AC15" s="182" t="s">
        <v>8</v>
      </c>
    </row>
    <row r="16" spans="1:29" ht="18" customHeight="1" x14ac:dyDescent="0.3">
      <c r="B16" s="481" t="s">
        <v>537</v>
      </c>
      <c r="C16" s="482"/>
      <c r="D16" s="385" t="s">
        <v>1563</v>
      </c>
      <c r="E16" s="385"/>
      <c r="F16" s="385"/>
      <c r="G16" s="385"/>
      <c r="H16" s="464" t="s">
        <v>1784</v>
      </c>
      <c r="I16" s="464"/>
      <c r="J16" s="464"/>
      <c r="K16" s="464"/>
      <c r="L16" s="465"/>
      <c r="M16" s="465"/>
      <c r="N16" s="369">
        <v>45345</v>
      </c>
      <c r="O16" s="369"/>
      <c r="P16" s="3"/>
      <c r="Q16" s="466" t="str">
        <f>IF(F11&lt;&gt;P11,"NON",IF(Q20&gt;=91,"OUI","NON"))</f>
        <v>NON</v>
      </c>
      <c r="R16" s="466"/>
      <c r="S16" s="3"/>
      <c r="T16" s="3"/>
      <c r="U16" s="46"/>
    </row>
    <row r="17" spans="1:32" ht="18" customHeight="1" x14ac:dyDescent="0.3">
      <c r="B17" s="436" t="s">
        <v>1683</v>
      </c>
      <c r="C17" s="437"/>
      <c r="D17" s="389" t="s">
        <v>1563</v>
      </c>
      <c r="E17" s="389"/>
      <c r="F17" s="389"/>
      <c r="G17" s="389"/>
      <c r="H17" s="438" t="s">
        <v>1785</v>
      </c>
      <c r="I17" s="438"/>
      <c r="J17" s="438"/>
      <c r="K17" s="438"/>
      <c r="L17" s="369">
        <v>45345</v>
      </c>
      <c r="M17" s="369"/>
      <c r="N17" s="369">
        <v>45348</v>
      </c>
      <c r="O17" s="370"/>
      <c r="S17" s="47"/>
      <c r="T17" s="3"/>
      <c r="U17" s="46"/>
      <c r="W17" s="190">
        <f>IF(D17="","",IF(ODM!L18="",ODM!L23-ODM!N16+1,ODM!N17-ODM!N16+1))</f>
        <v>4</v>
      </c>
      <c r="X17" s="191">
        <f>IF(D17="","",IF($F$11&lt;&gt;$P$11,0,IF($D17=$F$11,0,IF(VLOOKUP($W$7,'autres ldv'!I$47:K$58,3,FALSE)="Non",0,VLOOKUP($D17,Pays!$A$1:$M$261,VLOOKUP($P$11,Pays!$A$1:$N$6,14,FALSE),FALSE)))))</f>
        <v>0</v>
      </c>
      <c r="Y17" s="192">
        <f>IF($D17="","",IF($W$7="ALLR",IF($F$11="France métropolitaine",W17*X17*'autres ldv'!$B$39/30,W17*X17*'autres ldv'!$B$40/30),W17*X17*'autres ldv'!$B$37*'autres ldv'!$B$38/30))</f>
        <v>0</v>
      </c>
      <c r="AA17" s="200">
        <f>IF(D17="","",W17*VLOOKUP(UPPER(D17),Pays!A$2:M$253,11,FALSE))</f>
        <v>472</v>
      </c>
      <c r="AC17" s="225" t="str">
        <f>IF(D17="","",D17)</f>
        <v>FRANCE MÉTROPOLITAINE</v>
      </c>
      <c r="AF17" s="1" t="str">
        <f>IFERROR(VLOOKUP(MAX(W17:W22),W17:AC22,7,FALSE),"")</f>
        <v>FRANCE MÉTROPOLITAINE</v>
      </c>
    </row>
    <row r="18" spans="1:32" ht="18" customHeight="1" x14ac:dyDescent="0.3">
      <c r="B18" s="436" t="s">
        <v>1684</v>
      </c>
      <c r="C18" s="437"/>
      <c r="D18" s="471" t="s">
        <v>169</v>
      </c>
      <c r="E18" s="472"/>
      <c r="F18" s="472"/>
      <c r="G18" s="388"/>
      <c r="H18" s="473" t="s">
        <v>1783</v>
      </c>
      <c r="I18" s="474"/>
      <c r="J18" s="474"/>
      <c r="K18" s="475"/>
      <c r="L18" s="369">
        <v>45348</v>
      </c>
      <c r="M18" s="369"/>
      <c r="N18" s="369">
        <v>45351</v>
      </c>
      <c r="O18" s="370"/>
      <c r="P18" s="441" t="s">
        <v>468</v>
      </c>
      <c r="Q18" s="441"/>
      <c r="R18" s="441"/>
      <c r="S18" s="441"/>
      <c r="T18" s="3"/>
      <c r="U18" s="3"/>
      <c r="W18" s="190">
        <f>IF(D18="","",IF(ODM!L19="",IF(ODM!L$23-ODM!N17=0,1,ODM!L$23-ODM!N17),IF(ODM!N18-ODM!N17=0,1,ODM!N18-ODM!N17)))</f>
        <v>3</v>
      </c>
      <c r="X18" s="191">
        <f>IF(D18="","",IF($F$11&lt;&gt;$P$11,0,IF($D18=$F$11,0,IF(VLOOKUP($W$7,'autres ldv'!I$47:K$58,3,FALSE)="Non",0,VLOOKUP($D18,Pays!$A$1:$M$261,VLOOKUP($P$11,Pays!$A$1:$N$6,14,FALSE),FALSE)))))</f>
        <v>0</v>
      </c>
      <c r="Y18" s="192">
        <f>IF($D18="","",IF($W$7="ALLR",IF($F$11="France métropolitaine",W18*X18*'autres ldv'!$B$39/30,W18*X18*'autres ldv'!$B$40/30),W18*X18*'autres ldv'!$B$37*'autres ldv'!$B$38/30))</f>
        <v>0</v>
      </c>
      <c r="AA18" s="200">
        <f>IF(D18="","",W18*VLOOKUP(UPPER(D18),Pays!A$2:M$253,11,FALSE))</f>
        <v>270</v>
      </c>
      <c r="AC18" s="225" t="str">
        <f>IF(D18="","",D18)</f>
        <v>PAYS-BAS</v>
      </c>
    </row>
    <row r="19" spans="1:32" ht="18" customHeight="1" x14ac:dyDescent="0.3">
      <c r="B19" s="436" t="s">
        <v>1685</v>
      </c>
      <c r="C19" s="437"/>
      <c r="D19" s="471"/>
      <c r="E19" s="472"/>
      <c r="F19" s="472"/>
      <c r="G19" s="388"/>
      <c r="H19" s="473"/>
      <c r="I19" s="474"/>
      <c r="J19" s="474"/>
      <c r="K19" s="475"/>
      <c r="L19" s="370"/>
      <c r="M19" s="483"/>
      <c r="N19" s="370"/>
      <c r="O19" s="470"/>
      <c r="P19" s="441"/>
      <c r="Q19" s="441"/>
      <c r="R19" s="441"/>
      <c r="S19" s="441"/>
      <c r="T19" s="3"/>
      <c r="U19" s="3"/>
      <c r="W19" s="190" t="str">
        <f>IF(D19="","",IF(ODM!L20="",IF(ODM!L$23-ODM!N18=0,1,ODM!L$23-ODM!N18),IF(ODM!N19-ODM!N18=0,1,ODM!N19-ODM!N18)))</f>
        <v/>
      </c>
      <c r="X19" s="191" t="str">
        <f>IF(D19="","",IF($F$11&lt;&gt;$P$11,0,IF($D19=$F$11,0,IF(VLOOKUP($W$7,'autres ldv'!I$47:K$58,3,FALSE)="Non",0,VLOOKUP($D19,Pays!$A$1:$M$261,VLOOKUP($P$11,Pays!$A$1:$N$6,14,FALSE),FALSE)))))</f>
        <v/>
      </c>
      <c r="Y19" s="192" t="str">
        <f>IF($D19="","",IF($W$7="ALLR",IF($F$11="France métropolitaine",W19*X19*'autres ldv'!$B$39/30,W19*X19*'autres ldv'!$B$40/30),W19*X19*'autres ldv'!$B$37*'autres ldv'!$B$38/30))</f>
        <v/>
      </c>
      <c r="AA19" s="200" t="str">
        <f>IF(D19="","",W19*VLOOKUP(UPPER(D19),Pays!A$2:M$253,11,FALSE))</f>
        <v/>
      </c>
      <c r="AC19" s="225" t="str">
        <f t="shared" ref="AC19:AC22" si="0">IF(D19="","",D19)</f>
        <v/>
      </c>
    </row>
    <row r="20" spans="1:32" ht="18" customHeight="1" x14ac:dyDescent="0.3">
      <c r="B20" s="436" t="s">
        <v>1686</v>
      </c>
      <c r="C20" s="437"/>
      <c r="D20" s="389"/>
      <c r="E20" s="389"/>
      <c r="F20" s="389"/>
      <c r="G20" s="389"/>
      <c r="H20" s="438"/>
      <c r="I20" s="438"/>
      <c r="J20" s="438"/>
      <c r="K20" s="438"/>
      <c r="L20" s="369"/>
      <c r="M20" s="369"/>
      <c r="N20" s="369"/>
      <c r="O20" s="370"/>
      <c r="Q20" s="478">
        <f>IF(N16="",0,((L23-N16+1)-Q25))</f>
        <v>5</v>
      </c>
      <c r="R20" s="479"/>
      <c r="T20" s="3"/>
      <c r="U20" s="3"/>
      <c r="W20" s="190" t="str">
        <f>IF(D20="","",IF(ODM!L21="",IF(ODM!L$23-ODM!N19=0,1,ODM!L$23-ODM!N19),IF(ODM!N20-ODM!N19=0,1,ODM!N20-ODM!N19)))</f>
        <v/>
      </c>
      <c r="X20" s="191" t="str">
        <f>IF(D20="","",IF($F$11&lt;&gt;$P$11,0,IF($D20=$F$11,0,IF(VLOOKUP($W$7,'autres ldv'!I$47:K$58,3,FALSE)="Non",0,VLOOKUP($D20,Pays!$A$1:$M$261,VLOOKUP($P$11,Pays!$A$1:$N$6,14,FALSE),FALSE)))))</f>
        <v/>
      </c>
      <c r="Y20" s="192" t="str">
        <f>IF($D20="","",IF($W$7="ALLR",IF($F$11="France métropolitaine",W20*X20*'autres ldv'!$B$39/30,W20*X20*'autres ldv'!$B$40/30),W20*X20*'autres ldv'!$B$37*'autres ldv'!$B$38/30))</f>
        <v/>
      </c>
      <c r="AA20" s="200" t="str">
        <f>IF(D20="","",W20*VLOOKUP(UPPER(D20),Pays!A$2:M$253,11,FALSE))</f>
        <v/>
      </c>
      <c r="AC20" s="225" t="str">
        <f t="shared" si="0"/>
        <v/>
      </c>
    </row>
    <row r="21" spans="1:32" ht="18" customHeight="1" x14ac:dyDescent="0.3">
      <c r="B21" s="436" t="s">
        <v>1687</v>
      </c>
      <c r="C21" s="437"/>
      <c r="D21" s="389"/>
      <c r="E21" s="389"/>
      <c r="F21" s="389"/>
      <c r="G21" s="389"/>
      <c r="H21" s="438"/>
      <c r="I21" s="438"/>
      <c r="J21" s="438"/>
      <c r="K21" s="438"/>
      <c r="L21" s="369"/>
      <c r="M21" s="369"/>
      <c r="N21" s="369"/>
      <c r="O21" s="370"/>
      <c r="T21" s="3"/>
      <c r="U21" s="3"/>
      <c r="W21" s="190" t="str">
        <f>IF(D21="","",IF(ODM!L22="",IF(ODM!L$23-ODM!N20=0,1,ODM!L$23-ODM!N20),IF(ODM!N21-ODM!N20=0,1,ODM!N21-ODM!N20)))</f>
        <v/>
      </c>
      <c r="X21" s="191" t="str">
        <f>IF(D21="","",IF($F$11&lt;&gt;$P$11,0,IF($D21=$F$11,0,IF(VLOOKUP($W$7,'autres ldv'!I$47:K$58,3,FALSE)="Non",0,VLOOKUP($D21,Pays!$A$1:$M$261,VLOOKUP($P$11,Pays!$A$1:$N$6,14,FALSE),FALSE)))))</f>
        <v/>
      </c>
      <c r="Y21" s="192" t="str">
        <f>IF($D21="","",IF($W$7="ALLR",IF($F$11="France métropolitaine",W21*X21*'autres ldv'!$B$39/30,W21*X21*'autres ldv'!$B$40/30),W21*X21*'autres ldv'!$B$37*'autres ldv'!$B$38/30))</f>
        <v/>
      </c>
      <c r="AA21" s="200" t="str">
        <f>IF(D21="","",W21*VLOOKUP(UPPER(D21),Pays!A$2:M$253,11,FALSE))</f>
        <v/>
      </c>
      <c r="AC21" s="225" t="str">
        <f t="shared" si="0"/>
        <v/>
      </c>
    </row>
    <row r="22" spans="1:32" ht="18" customHeight="1" x14ac:dyDescent="0.3">
      <c r="B22" s="436" t="s">
        <v>1688</v>
      </c>
      <c r="C22" s="437"/>
      <c r="D22" s="389"/>
      <c r="E22" s="389"/>
      <c r="F22" s="389"/>
      <c r="G22" s="389"/>
      <c r="H22" s="438"/>
      <c r="I22" s="438"/>
      <c r="J22" s="438"/>
      <c r="K22" s="438"/>
      <c r="L22" s="369"/>
      <c r="M22" s="369"/>
      <c r="N22" s="439"/>
      <c r="O22" s="440"/>
      <c r="P22" s="441" t="s">
        <v>469</v>
      </c>
      <c r="Q22" s="441"/>
      <c r="R22" s="441"/>
      <c r="S22" s="441"/>
      <c r="T22" s="3"/>
      <c r="U22" s="3"/>
      <c r="W22" s="190" t="str">
        <f>IF(D22="","",IF(ODM!L23="",IF(ODM!L$23-ODM!N21=0,1,ODM!L$23-ODM!N21),IF(ODM!N22-ODM!N21=0,1,ODM!N22-ODM!N21)))</f>
        <v/>
      </c>
      <c r="X22" s="191" t="str">
        <f>IF(D22="","",IF($F$11&lt;&gt;$P$11,0,IF($D22=$F$11,0,IF(VLOOKUP($W$7,'autres ldv'!I$47:K$58,3,FALSE)="Non",0,VLOOKUP($D22,Pays!$A$1:$M$261,VLOOKUP($P$11,Pays!$A$1:$N$6,14,FALSE),FALSE)))))</f>
        <v/>
      </c>
      <c r="Y22" s="192" t="str">
        <f>IF($D22="","",IF($W$7="ALLR",IF($F$11="France métropolitaine",W22*X22*'autres ldv'!$B$39/30,W22*X22*'autres ldv'!$B$40/30),W22*X22*'autres ldv'!$B$37*'autres ldv'!$B$38/30))</f>
        <v/>
      </c>
      <c r="AA22" s="200" t="str">
        <f>IF(D22="","",W22*VLOOKUP(UPPER(D22),Pays!A$2:M$253,11,FALSE))</f>
        <v/>
      </c>
      <c r="AC22" s="225" t="str">
        <f t="shared" si="0"/>
        <v/>
      </c>
    </row>
    <row r="23" spans="1:32" ht="18" customHeight="1" thickBot="1" x14ac:dyDescent="0.35">
      <c r="B23" s="442" t="s">
        <v>538</v>
      </c>
      <c r="C23" s="443"/>
      <c r="D23" s="444" t="s">
        <v>1563</v>
      </c>
      <c r="E23" s="444"/>
      <c r="F23" s="444"/>
      <c r="G23" s="444"/>
      <c r="H23" s="445" t="s">
        <v>1785</v>
      </c>
      <c r="I23" s="445"/>
      <c r="J23" s="445"/>
      <c r="K23" s="445"/>
      <c r="L23" s="369">
        <v>45351</v>
      </c>
      <c r="M23" s="370"/>
      <c r="N23" s="425"/>
      <c r="O23" s="426"/>
      <c r="P23" s="441"/>
      <c r="Q23" s="441"/>
      <c r="R23" s="441"/>
      <c r="S23" s="441"/>
      <c r="X23" s="37" t="s">
        <v>912</v>
      </c>
      <c r="Y23" s="193">
        <f>IFERROR(SUM(Y17:Y22)*((ODM!$L23-ODM!$N16+1)-ODM!$Q25)/(ODM!$L23-ODM!$N16+1),0)</f>
        <v>0</v>
      </c>
      <c r="AA23" s="193">
        <f>IFERROR(SUM(AA17:AA22)*((ODM!$L23-ODM!$N16+1)-ODM!$Q25)/(ODM!$L23-ODM!$N16+1),0)</f>
        <v>530</v>
      </c>
      <c r="AB23" s="1" t="s">
        <v>1545</v>
      </c>
    </row>
    <row r="24" spans="1:32" ht="8.1" customHeight="1" x14ac:dyDescent="0.3">
      <c r="B24" s="48"/>
      <c r="C24" s="48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X24" s="201"/>
      <c r="Y24" s="7"/>
      <c r="Z24" s="7"/>
    </row>
    <row r="25" spans="1:32" customFormat="1" ht="20.100000000000001" customHeight="1" x14ac:dyDescent="0.3">
      <c r="A25" s="49"/>
      <c r="B25" s="427" t="s">
        <v>478</v>
      </c>
      <c r="C25" s="427"/>
      <c r="D25" s="428">
        <v>45346</v>
      </c>
      <c r="E25" s="428"/>
      <c r="F25" s="50" t="s">
        <v>477</v>
      </c>
      <c r="G25" s="428">
        <v>45347</v>
      </c>
      <c r="H25" s="428"/>
      <c r="I25" s="50" t="s">
        <v>476</v>
      </c>
      <c r="J25" s="428"/>
      <c r="K25" s="428"/>
      <c r="L25" s="50" t="s">
        <v>477</v>
      </c>
      <c r="M25" s="428"/>
      <c r="N25" s="428"/>
      <c r="O25" s="1"/>
      <c r="P25" s="1"/>
      <c r="Q25" s="433">
        <f>IF(AND(D25="",J25=""),0,'autres ldv'!B2+'autres ldv'!B3)</f>
        <v>2</v>
      </c>
      <c r="R25" s="433"/>
      <c r="S25" s="51"/>
      <c r="X25" s="156" t="s">
        <v>911</v>
      </c>
      <c r="Y25" s="194">
        <f>IFERROR(SUM(Y17:Y22)*(1+'autres ldv'!B34)*((ODM!L23-ODM!N16+1)-ODM!Q25)/(ODM!L23-ODM!N16+1),0)</f>
        <v>0</v>
      </c>
    </row>
    <row r="26" spans="1:32" customFormat="1" ht="7.5" customHeight="1" x14ac:dyDescent="0.3">
      <c r="A26" s="49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spans="1:32" customFormat="1" ht="22.5" customHeight="1" x14ac:dyDescent="0.3">
      <c r="A27" s="49"/>
      <c r="B27" s="431" t="s">
        <v>1555</v>
      </c>
      <c r="C27" s="431"/>
      <c r="D27" s="432" t="s">
        <v>169</v>
      </c>
      <c r="E27" s="432"/>
      <c r="F27" s="432"/>
      <c r="G27" s="432"/>
      <c r="H27" s="432"/>
      <c r="I27" s="432"/>
      <c r="J27" s="432"/>
      <c r="K27" s="432"/>
      <c r="L27" s="432"/>
      <c r="M27" s="432"/>
      <c r="N27" s="432"/>
      <c r="O27" s="1"/>
      <c r="P27" s="476" t="s">
        <v>307</v>
      </c>
      <c r="Q27" s="476"/>
      <c r="R27" s="476"/>
      <c r="S27" s="476"/>
      <c r="W27" s="189" t="s">
        <v>582</v>
      </c>
      <c r="X27" s="189" t="s">
        <v>915</v>
      </c>
      <c r="Y27" s="189" t="s">
        <v>916</v>
      </c>
      <c r="Z27" s="156"/>
    </row>
    <row r="28" spans="1:32" customFormat="1" ht="5.25" customHeight="1" x14ac:dyDescent="0.3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Z28" s="49"/>
    </row>
    <row r="29" spans="1:32" customFormat="1" ht="20.100000000000001" customHeight="1" x14ac:dyDescent="0.3">
      <c r="A29" s="3"/>
      <c r="B29" s="3" t="s">
        <v>896</v>
      </c>
      <c r="C29" s="44"/>
      <c r="D29" s="414" t="s">
        <v>1778</v>
      </c>
      <c r="E29" s="414"/>
      <c r="F29" s="414"/>
      <c r="G29" s="414"/>
      <c r="H29" s="3" t="s">
        <v>897</v>
      </c>
      <c r="I29" s="3"/>
      <c r="J29" s="429" t="s">
        <v>1781</v>
      </c>
      <c r="K29" s="429"/>
      <c r="L29" s="429"/>
      <c r="M29" s="429"/>
      <c r="N29" s="429"/>
      <c r="O29" s="3" t="s">
        <v>898</v>
      </c>
      <c r="P29" s="430" t="str">
        <f>IFERROR(INDEX('Liste Géo'!A2:D260,MATCH(INDEX(Pays!A2:O250,MATCH(D27,Pays!A2:A250,0),15),'Liste Géo'!A2:A260,0),3),"")</f>
        <v>NL-Pays-Bas</v>
      </c>
      <c r="Q29" s="430"/>
      <c r="R29" s="430"/>
      <c r="S29" s="430"/>
      <c r="T29" s="50"/>
      <c r="W29" s="181" t="str">
        <f>IF(ISNA(INDEX('Liste Structure'!C2:D129,MATCH(ODM!D29,'Liste Structure'!C2:C129,0),2)),"",INDEX('Liste Structure'!C2:D129,MATCH(ODM!D29,'Liste Structure'!C2:C129,0),2))</f>
        <v>A10821</v>
      </c>
      <c r="X29" s="221" t="str">
        <f>J29</f>
        <v>C19966L01</v>
      </c>
      <c r="Y29" s="181" t="str">
        <f>IF(ISNA(INDEX('Liste Géo'!C2:D260,MATCH(ODM!P29,Géo,0),2)),"",INDEX('Liste Géo'!C2:D260,MATCH(ODM!P29,Géo,0),2))</f>
        <v>NL</v>
      </c>
    </row>
    <row r="30" spans="1:32" customFormat="1" ht="13.5" customHeight="1" x14ac:dyDescent="0.3">
      <c r="A30" s="1"/>
      <c r="B30" s="3"/>
      <c r="C30" s="18"/>
      <c r="D30" s="18"/>
      <c r="E30" s="43"/>
      <c r="F30" s="43"/>
      <c r="G30" s="43"/>
      <c r="H30" s="222"/>
      <c r="J30" s="43"/>
      <c r="K30" s="45"/>
      <c r="L30" s="18"/>
      <c r="M30" s="18"/>
      <c r="N30" s="3"/>
      <c r="O30" s="3"/>
      <c r="P30" s="3"/>
      <c r="Q30" s="43"/>
      <c r="R30" s="43"/>
      <c r="S30" s="43"/>
      <c r="X30" s="156"/>
      <c r="Y30" s="1"/>
    </row>
    <row r="31" spans="1:32" ht="24" customHeight="1" x14ac:dyDescent="0.3">
      <c r="B31" s="434" t="s">
        <v>306</v>
      </c>
      <c r="C31" s="434"/>
      <c r="D31" s="434"/>
      <c r="E31" s="434"/>
      <c r="F31" s="434"/>
      <c r="G31" s="434"/>
      <c r="H31" s="435" t="s">
        <v>291</v>
      </c>
      <c r="I31" s="435"/>
      <c r="J31" s="435"/>
      <c r="K31" s="435"/>
      <c r="L31" s="422" t="s">
        <v>470</v>
      </c>
      <c r="M31" s="422"/>
      <c r="N31" s="422"/>
      <c r="O31" s="422"/>
      <c r="P31" s="422"/>
      <c r="Q31" s="422"/>
      <c r="R31" s="422"/>
      <c r="S31" s="422"/>
      <c r="T31" s="422"/>
      <c r="U31" s="3"/>
    </row>
    <row r="32" spans="1:32" ht="18.600000000000001" customHeight="1" thickBot="1" x14ac:dyDescent="0.35">
      <c r="B32" s="423" t="s">
        <v>305</v>
      </c>
      <c r="C32" s="423"/>
      <c r="D32" s="423"/>
      <c r="E32" s="423"/>
      <c r="F32" s="423"/>
      <c r="G32" s="423"/>
      <c r="H32" s="424" t="s">
        <v>534</v>
      </c>
      <c r="I32" s="424"/>
      <c r="J32" s="424"/>
      <c r="K32" s="424"/>
      <c r="L32" s="424"/>
      <c r="M32" s="424"/>
      <c r="N32" s="424"/>
      <c r="O32" s="424"/>
      <c r="P32" s="52"/>
      <c r="Q32" s="52"/>
      <c r="R32" s="52"/>
      <c r="S32" s="52"/>
      <c r="T32" s="3"/>
      <c r="U32" s="3"/>
    </row>
    <row r="33" spans="2:21" ht="5.4" customHeight="1" x14ac:dyDescent="0.3">
      <c r="B33" s="419"/>
      <c r="C33" s="419"/>
      <c r="D33" s="419"/>
      <c r="E33" s="419"/>
      <c r="F33" s="419"/>
      <c r="G33" s="419"/>
      <c r="H33" s="419"/>
      <c r="I33" s="419"/>
      <c r="J33" s="419"/>
      <c r="K33" s="419"/>
      <c r="L33" s="419"/>
      <c r="M33" s="419"/>
      <c r="N33" s="419"/>
      <c r="O33" s="419"/>
      <c r="P33" s="419"/>
      <c r="Q33" s="419"/>
      <c r="R33" s="419"/>
      <c r="S33" s="419"/>
      <c r="T33" s="3"/>
      <c r="U33" s="3"/>
    </row>
    <row r="34" spans="2:21" ht="20.100000000000001" customHeight="1" x14ac:dyDescent="0.3">
      <c r="B34" s="367" t="s">
        <v>404</v>
      </c>
      <c r="C34" s="367"/>
      <c r="D34" s="53"/>
      <c r="E34" s="332" t="s">
        <v>1567</v>
      </c>
      <c r="F34" s="332"/>
      <c r="G34" s="332"/>
      <c r="H34" s="332"/>
      <c r="I34" s="332"/>
      <c r="J34" s="332"/>
      <c r="K34" s="332"/>
      <c r="L34" s="332"/>
      <c r="M34" s="420"/>
      <c r="N34" s="420"/>
      <c r="O34" s="420"/>
      <c r="P34" s="420"/>
      <c r="Q34" s="420"/>
      <c r="R34" s="420"/>
      <c r="S34" s="420"/>
      <c r="T34" s="3"/>
      <c r="U34" s="3"/>
    </row>
    <row r="35" spans="2:21" ht="20.100000000000001" customHeight="1" x14ac:dyDescent="0.3">
      <c r="B35" s="367"/>
      <c r="C35" s="367"/>
      <c r="D35" s="53"/>
      <c r="E35" s="332" t="s">
        <v>1568</v>
      </c>
      <c r="F35" s="332"/>
      <c r="G35" s="332"/>
      <c r="H35" s="332"/>
      <c r="I35" s="332"/>
      <c r="J35" s="332"/>
      <c r="K35" s="332"/>
      <c r="L35" s="332"/>
      <c r="M35" s="332"/>
      <c r="N35" s="421"/>
      <c r="O35" s="421"/>
      <c r="P35" s="54"/>
      <c r="Q35" s="54"/>
      <c r="R35" s="54"/>
      <c r="S35" s="54"/>
      <c r="T35" s="3"/>
      <c r="U35" s="3"/>
    </row>
    <row r="36" spans="2:21" ht="20.100000000000001" customHeight="1" x14ac:dyDescent="0.3">
      <c r="B36" s="367"/>
      <c r="C36" s="367"/>
      <c r="D36" s="53"/>
      <c r="E36" s="332" t="s">
        <v>1569</v>
      </c>
      <c r="F36" s="332"/>
      <c r="G36" s="332"/>
      <c r="H36" s="332"/>
      <c r="I36" s="332"/>
      <c r="J36" s="332"/>
      <c r="K36" s="332"/>
      <c r="L36" s="332"/>
      <c r="M36" s="332"/>
      <c r="N36" s="421"/>
      <c r="O36" s="421"/>
      <c r="P36" s="54"/>
      <c r="Q36" s="54"/>
      <c r="R36" s="54"/>
      <c r="S36" s="54"/>
      <c r="T36" s="3"/>
      <c r="U36" s="3"/>
    </row>
    <row r="37" spans="2:21" ht="20.100000000000001" customHeight="1" x14ac:dyDescent="0.3">
      <c r="C37" s="55"/>
      <c r="D37" s="55"/>
      <c r="F37" s="332" t="s">
        <v>509</v>
      </c>
      <c r="G37" s="332"/>
      <c r="H37" s="332"/>
      <c r="I37" s="414"/>
      <c r="J37" s="414"/>
      <c r="K37" s="414"/>
      <c r="L37" s="414"/>
      <c r="M37" s="414"/>
      <c r="N37" s="414"/>
      <c r="O37" s="414"/>
      <c r="P37" s="414"/>
      <c r="Q37" s="414"/>
      <c r="R37" s="414"/>
      <c r="S37" s="414"/>
      <c r="T37" s="3"/>
      <c r="U37" s="3"/>
    </row>
    <row r="38" spans="2:21" ht="7.35" customHeight="1" thickBot="1" x14ac:dyDescent="0.35">
      <c r="B38" s="3"/>
      <c r="C38" s="8"/>
      <c r="D38" s="56"/>
      <c r="E38" s="57"/>
      <c r="F38" s="57"/>
      <c r="G38" s="8"/>
      <c r="H38" s="8"/>
      <c r="I38" s="45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3"/>
      <c r="U38" s="3"/>
    </row>
    <row r="39" spans="2:21" ht="18.600000000000001" customHeight="1" x14ac:dyDescent="0.3">
      <c r="B39" s="415" t="s">
        <v>405</v>
      </c>
      <c r="C39" s="415"/>
      <c r="D39" s="415"/>
      <c r="E39" s="415"/>
      <c r="F39" s="415"/>
      <c r="G39" s="415"/>
      <c r="H39" s="415"/>
      <c r="I39" s="415"/>
      <c r="J39" s="415"/>
      <c r="K39" s="415"/>
      <c r="L39" s="415"/>
      <c r="M39" s="415"/>
      <c r="N39" s="415"/>
      <c r="O39" s="415"/>
      <c r="P39" s="415"/>
      <c r="Q39" s="416" t="s">
        <v>15</v>
      </c>
      <c r="R39" s="416"/>
      <c r="S39" s="416"/>
      <c r="T39" s="3"/>
      <c r="U39" s="3"/>
    </row>
    <row r="40" spans="2:21" ht="15" customHeight="1" x14ac:dyDescent="0.3">
      <c r="B40" s="383" t="s">
        <v>408</v>
      </c>
      <c r="C40" s="383"/>
      <c r="D40" s="383"/>
      <c r="E40" s="383"/>
      <c r="F40" s="383"/>
      <c r="G40" s="383"/>
      <c r="H40" s="383"/>
      <c r="I40" s="383"/>
      <c r="J40" s="383"/>
      <c r="K40" s="383"/>
      <c r="L40" s="383"/>
      <c r="M40" s="383"/>
      <c r="N40" s="383"/>
      <c r="O40" s="383"/>
      <c r="P40" s="383"/>
      <c r="Q40" s="383"/>
      <c r="R40" s="383"/>
      <c r="S40" s="383"/>
      <c r="T40" s="3"/>
      <c r="U40" s="3"/>
    </row>
    <row r="41" spans="2:21" ht="18" customHeight="1" x14ac:dyDescent="0.3">
      <c r="B41" s="417" t="s">
        <v>1570</v>
      </c>
      <c r="C41" s="417"/>
      <c r="D41" s="417"/>
      <c r="E41" s="417"/>
      <c r="F41" s="417"/>
      <c r="G41" s="417"/>
      <c r="H41" s="417"/>
      <c r="I41" s="417"/>
      <c r="J41" s="417"/>
      <c r="K41" s="417"/>
      <c r="L41" s="417"/>
      <c r="M41" s="59"/>
      <c r="N41" s="59"/>
      <c r="O41" s="60" t="s">
        <v>484</v>
      </c>
      <c r="P41" s="246"/>
      <c r="Q41" s="412">
        <f>IFERROR(P41*VLOOKUP(D16,Pays!A1:L260,9,FALSE)/100,"")</f>
        <v>0</v>
      </c>
      <c r="R41" s="412"/>
      <c r="S41" s="412"/>
      <c r="T41" s="3"/>
      <c r="U41" s="3"/>
    </row>
    <row r="42" spans="2:21" ht="18" customHeight="1" x14ac:dyDescent="0.3">
      <c r="B42" s="418" t="s">
        <v>406</v>
      </c>
      <c r="C42" s="418"/>
      <c r="D42" s="418"/>
      <c r="E42" s="418"/>
      <c r="F42" s="418"/>
      <c r="G42" s="418"/>
      <c r="H42" s="418"/>
      <c r="I42" s="418"/>
      <c r="J42" s="418"/>
      <c r="K42" s="418"/>
      <c r="L42" s="418"/>
      <c r="M42" s="7"/>
      <c r="N42" s="7"/>
      <c r="O42" s="61" t="s">
        <v>485</v>
      </c>
      <c r="P42" s="247"/>
      <c r="Q42" s="413">
        <f>P42*'autres ldv'!B26</f>
        <v>0</v>
      </c>
      <c r="R42" s="413"/>
      <c r="S42" s="413"/>
      <c r="T42" s="3"/>
      <c r="U42" s="3"/>
    </row>
    <row r="43" spans="2:21" ht="18" customHeight="1" x14ac:dyDescent="0.3">
      <c r="B43" s="62" t="s">
        <v>1560</v>
      </c>
      <c r="C43" s="17"/>
      <c r="D43" s="17"/>
      <c r="E43" s="17"/>
      <c r="F43" s="17"/>
      <c r="G43" s="17"/>
      <c r="H43" s="17"/>
      <c r="I43" s="17"/>
      <c r="J43" s="17"/>
      <c r="K43" s="36"/>
      <c r="L43" s="36"/>
      <c r="M43" s="36"/>
      <c r="N43" s="36"/>
      <c r="O43" s="36"/>
      <c r="P43" s="36"/>
      <c r="Q43" s="36"/>
      <c r="R43" s="63"/>
      <c r="S43" s="63"/>
      <c r="T43" s="3"/>
      <c r="U43" s="3"/>
    </row>
    <row r="44" spans="2:21" ht="15" customHeight="1" x14ac:dyDescent="0.3">
      <c r="B44" s="383" t="s">
        <v>506</v>
      </c>
      <c r="C44" s="383"/>
      <c r="D44" s="383"/>
      <c r="E44" s="383"/>
      <c r="F44" s="383"/>
      <c r="G44" s="383"/>
      <c r="H44" s="383"/>
      <c r="I44" s="383"/>
      <c r="J44" s="383"/>
      <c r="K44" s="383"/>
      <c r="L44" s="383"/>
      <c r="M44" s="383"/>
      <c r="N44" s="383"/>
      <c r="O44" s="383"/>
      <c r="P44" s="383"/>
      <c r="Q44" s="383"/>
      <c r="R44" s="383"/>
      <c r="S44" s="383"/>
      <c r="T44" s="3"/>
      <c r="U44" s="3"/>
    </row>
    <row r="45" spans="2:21" ht="18" customHeight="1" x14ac:dyDescent="0.3">
      <c r="B45" s="384" t="s">
        <v>1787</v>
      </c>
      <c r="C45" s="385"/>
      <c r="D45" s="385"/>
      <c r="E45" s="385"/>
      <c r="F45" s="385"/>
      <c r="G45" s="385"/>
      <c r="H45" s="385"/>
      <c r="I45" s="385"/>
      <c r="J45" s="385"/>
      <c r="K45" s="385"/>
      <c r="L45" s="385"/>
      <c r="M45" s="385"/>
      <c r="N45" s="385"/>
      <c r="O45" s="385"/>
      <c r="P45" s="385"/>
      <c r="Q45" s="386">
        <v>50</v>
      </c>
      <c r="R45" s="386"/>
      <c r="S45" s="387"/>
      <c r="T45" s="3"/>
      <c r="U45" s="3"/>
    </row>
    <row r="46" spans="2:21" ht="18" customHeight="1" x14ac:dyDescent="0.3">
      <c r="B46" s="388" t="s">
        <v>1786</v>
      </c>
      <c r="C46" s="389"/>
      <c r="D46" s="389"/>
      <c r="E46" s="389"/>
      <c r="F46" s="389"/>
      <c r="G46" s="389"/>
      <c r="H46" s="389"/>
      <c r="I46" s="389"/>
      <c r="J46" s="389"/>
      <c r="K46" s="389"/>
      <c r="L46" s="389"/>
      <c r="M46" s="389"/>
      <c r="N46" s="389"/>
      <c r="O46" s="389"/>
      <c r="P46" s="389"/>
      <c r="Q46" s="390">
        <v>200</v>
      </c>
      <c r="R46" s="390"/>
      <c r="S46" s="391"/>
      <c r="T46" s="3"/>
      <c r="U46" s="3"/>
    </row>
    <row r="47" spans="2:21" ht="18" customHeight="1" x14ac:dyDescent="0.3">
      <c r="B47" s="388" t="s">
        <v>1788</v>
      </c>
      <c r="C47" s="389"/>
      <c r="D47" s="389"/>
      <c r="E47" s="389"/>
      <c r="F47" s="389"/>
      <c r="G47" s="389"/>
      <c r="H47" s="389"/>
      <c r="I47" s="389"/>
      <c r="J47" s="389"/>
      <c r="K47" s="389"/>
      <c r="L47" s="389"/>
      <c r="M47" s="389"/>
      <c r="N47" s="389"/>
      <c r="O47" s="389"/>
      <c r="P47" s="389"/>
      <c r="Q47" s="390">
        <v>150</v>
      </c>
      <c r="R47" s="390"/>
      <c r="S47" s="391"/>
      <c r="T47" s="3"/>
      <c r="U47" s="3"/>
    </row>
    <row r="48" spans="2:21" ht="18" customHeight="1" x14ac:dyDescent="0.3">
      <c r="B48" s="379"/>
      <c r="C48" s="380"/>
      <c r="D48" s="380"/>
      <c r="E48" s="380"/>
      <c r="F48" s="380"/>
      <c r="G48" s="380"/>
      <c r="H48" s="380"/>
      <c r="I48" s="380"/>
      <c r="J48" s="380"/>
      <c r="K48" s="380"/>
      <c r="L48" s="380"/>
      <c r="M48" s="380"/>
      <c r="N48" s="380"/>
      <c r="O48" s="380"/>
      <c r="P48" s="380"/>
      <c r="Q48" s="381"/>
      <c r="R48" s="381"/>
      <c r="S48" s="382"/>
      <c r="T48" s="3"/>
      <c r="U48" s="3"/>
    </row>
    <row r="49" spans="1:32" ht="15" customHeight="1" x14ac:dyDescent="0.3">
      <c r="B49" s="383" t="s">
        <v>409</v>
      </c>
      <c r="C49" s="383"/>
      <c r="D49" s="383"/>
      <c r="E49" s="383"/>
      <c r="F49" s="383"/>
      <c r="G49" s="383"/>
      <c r="H49" s="383"/>
      <c r="I49" s="383"/>
      <c r="J49" s="383"/>
      <c r="K49" s="383"/>
      <c r="L49" s="383"/>
      <c r="M49" s="383"/>
      <c r="N49" s="383"/>
      <c r="O49" s="383"/>
      <c r="P49" s="383"/>
      <c r="Q49" s="383"/>
      <c r="R49" s="383"/>
      <c r="S49" s="383"/>
      <c r="T49" s="3"/>
      <c r="U49" s="3"/>
    </row>
    <row r="50" spans="1:32" ht="18" customHeight="1" x14ac:dyDescent="0.3">
      <c r="B50" s="384"/>
      <c r="C50" s="385"/>
      <c r="D50" s="385"/>
      <c r="E50" s="385"/>
      <c r="F50" s="385"/>
      <c r="G50" s="385"/>
      <c r="H50" s="385"/>
      <c r="I50" s="385"/>
      <c r="J50" s="385"/>
      <c r="K50" s="385"/>
      <c r="L50" s="385"/>
      <c r="M50" s="385"/>
      <c r="N50" s="385"/>
      <c r="O50" s="385"/>
      <c r="P50" s="385"/>
      <c r="Q50" s="386"/>
      <c r="R50" s="386"/>
      <c r="S50" s="387"/>
      <c r="T50" s="3"/>
      <c r="U50" s="3"/>
    </row>
    <row r="51" spans="1:32" ht="18" customHeight="1" x14ac:dyDescent="0.3">
      <c r="B51" s="388"/>
      <c r="C51" s="389"/>
      <c r="D51" s="389"/>
      <c r="E51" s="389"/>
      <c r="F51" s="389"/>
      <c r="G51" s="389"/>
      <c r="H51" s="389"/>
      <c r="I51" s="389"/>
      <c r="J51" s="389"/>
      <c r="K51" s="389"/>
      <c r="L51" s="389"/>
      <c r="M51" s="389"/>
      <c r="N51" s="389"/>
      <c r="O51" s="389"/>
      <c r="P51" s="389"/>
      <c r="Q51" s="390"/>
      <c r="R51" s="390"/>
      <c r="S51" s="391"/>
      <c r="T51" s="3"/>
      <c r="U51" s="3"/>
    </row>
    <row r="52" spans="1:32" ht="18" customHeight="1" x14ac:dyDescent="0.3">
      <c r="B52" s="379"/>
      <c r="C52" s="380"/>
      <c r="D52" s="380"/>
      <c r="E52" s="380"/>
      <c r="F52" s="380"/>
      <c r="G52" s="380"/>
      <c r="H52" s="380"/>
      <c r="I52" s="380"/>
      <c r="J52" s="380"/>
      <c r="K52" s="380"/>
      <c r="L52" s="380"/>
      <c r="M52" s="380"/>
      <c r="N52" s="380"/>
      <c r="O52" s="380"/>
      <c r="P52" s="380"/>
      <c r="Q52" s="381"/>
      <c r="R52" s="381"/>
      <c r="S52" s="382"/>
      <c r="T52" s="3"/>
      <c r="U52" s="3"/>
    </row>
    <row r="53" spans="1:32" ht="15" customHeight="1" x14ac:dyDescent="0.3">
      <c r="B53" s="173" t="s">
        <v>1544</v>
      </c>
      <c r="C53" s="173"/>
      <c r="D53" s="173"/>
      <c r="E53" s="173"/>
      <c r="F53" s="173"/>
      <c r="G53" s="173"/>
      <c r="H53" s="173"/>
      <c r="I53" s="173"/>
      <c r="J53" s="173"/>
      <c r="K53" s="173"/>
      <c r="L53" s="173"/>
      <c r="M53" s="409" t="s">
        <v>528</v>
      </c>
      <c r="N53" s="409"/>
      <c r="O53" s="409" t="s">
        <v>527</v>
      </c>
      <c r="P53" s="410"/>
      <c r="Q53" s="407" t="s">
        <v>526</v>
      </c>
      <c r="R53" s="408"/>
      <c r="S53" s="408"/>
      <c r="T53" s="3"/>
      <c r="U53" s="5"/>
    </row>
    <row r="54" spans="1:32" ht="18" customHeight="1" x14ac:dyDescent="0.3">
      <c r="B54" s="411"/>
      <c r="C54" s="411"/>
      <c r="D54" s="411"/>
      <c r="E54" s="411"/>
      <c r="F54" s="411"/>
      <c r="G54" s="411"/>
      <c r="H54" s="411"/>
      <c r="I54" s="411"/>
      <c r="J54" s="411"/>
      <c r="K54" s="411"/>
      <c r="L54" s="411"/>
      <c r="M54" s="392">
        <f>IF(ISNA(Y23),"0",Y23)</f>
        <v>0</v>
      </c>
      <c r="N54" s="393"/>
      <c r="O54" s="392">
        <f>IF(ISNA(Y23),"0",Q54-Y23)</f>
        <v>0</v>
      </c>
      <c r="P54" s="393"/>
      <c r="Q54" s="392">
        <f>IF(ISNA(Y25),0,Y25)</f>
        <v>0</v>
      </c>
      <c r="R54" s="393"/>
      <c r="S54" s="394"/>
      <c r="T54" s="3"/>
      <c r="U54" s="5"/>
      <c r="X54" s="64"/>
    </row>
    <row r="55" spans="1:32" ht="18" customHeight="1" x14ac:dyDescent="0.3">
      <c r="B55" s="173"/>
      <c r="C55" s="173"/>
      <c r="D55" s="173"/>
      <c r="E55" s="173"/>
      <c r="F55" s="173"/>
      <c r="G55" s="202"/>
      <c r="H55" s="199"/>
      <c r="I55" s="406"/>
      <c r="J55" s="406"/>
      <c r="K55" s="405" t="s">
        <v>1559</v>
      </c>
      <c r="L55" s="405"/>
      <c r="M55" s="405"/>
      <c r="N55" s="405"/>
      <c r="O55" s="405"/>
      <c r="P55" s="405"/>
      <c r="Q55" s="395">
        <f>IFERROR(Q41+Q42+Q45+Q46+Q47+Q48+Q50+Q51+Q52+Q54,"")</f>
        <v>400</v>
      </c>
      <c r="R55" s="395"/>
      <c r="S55" s="395"/>
      <c r="T55" s="3"/>
      <c r="U55" s="5"/>
      <c r="X55" s="64"/>
    </row>
    <row r="56" spans="1:32" ht="18" customHeight="1" x14ac:dyDescent="0.3">
      <c r="B56" s="398" t="s">
        <v>1558</v>
      </c>
      <c r="C56" s="399"/>
      <c r="D56" s="399"/>
      <c r="E56" s="399"/>
      <c r="F56" s="399"/>
      <c r="G56" s="399"/>
      <c r="H56" s="399"/>
      <c r="I56" s="399"/>
      <c r="J56" s="399"/>
      <c r="K56" s="399"/>
      <c r="L56" s="399"/>
      <c r="M56" s="399"/>
      <c r="N56" s="399"/>
      <c r="O56" s="399"/>
      <c r="P56" s="399"/>
      <c r="Q56" s="400">
        <f>IFERROR(Q41+Q42+Q45+Q46+Q47+Q48,"")</f>
        <v>400</v>
      </c>
      <c r="R56" s="400"/>
      <c r="S56" s="400"/>
      <c r="T56" s="3"/>
      <c r="U56" s="5"/>
      <c r="X56" s="64"/>
    </row>
    <row r="57" spans="1:32" ht="18" customHeight="1" thickBot="1" x14ac:dyDescent="0.35">
      <c r="B57" s="401" t="s">
        <v>471</v>
      </c>
      <c r="C57" s="402"/>
      <c r="D57" s="402"/>
      <c r="E57" s="402"/>
      <c r="F57" s="402"/>
      <c r="G57" s="402"/>
      <c r="H57" s="402"/>
      <c r="I57" s="402"/>
      <c r="J57" s="402"/>
      <c r="K57" s="402"/>
      <c r="L57" s="402"/>
      <c r="M57" s="402"/>
      <c r="N57" s="402"/>
      <c r="O57" s="402"/>
      <c r="P57" s="402"/>
      <c r="Q57" s="403"/>
      <c r="R57" s="403"/>
      <c r="S57" s="403"/>
      <c r="T57" s="3"/>
      <c r="U57" s="3"/>
    </row>
    <row r="58" spans="1:32" ht="5.4" customHeight="1" x14ac:dyDescent="0.3">
      <c r="B58" s="65"/>
      <c r="C58" s="45"/>
      <c r="D58" s="45"/>
      <c r="E58" s="45"/>
      <c r="F58" s="45"/>
      <c r="G58" s="45"/>
      <c r="H58" s="45"/>
      <c r="I58" s="45"/>
      <c r="J58" s="18"/>
      <c r="K58" s="45"/>
      <c r="L58" s="45"/>
      <c r="M58" s="45"/>
      <c r="N58" s="45"/>
      <c r="O58" s="45"/>
      <c r="P58" s="45"/>
      <c r="Q58" s="66"/>
      <c r="R58" s="66"/>
      <c r="S58" s="66"/>
      <c r="T58" s="3"/>
      <c r="U58" s="3"/>
    </row>
    <row r="59" spans="1:32" customFormat="1" ht="21.6" customHeight="1" x14ac:dyDescent="0.3">
      <c r="A59" s="49"/>
      <c r="B59" s="332" t="s">
        <v>472</v>
      </c>
      <c r="C59" s="332"/>
      <c r="D59" s="343"/>
      <c r="E59" s="343"/>
      <c r="F59" s="343"/>
      <c r="G59" s="343"/>
      <c r="H59" s="343"/>
      <c r="I59" s="343"/>
      <c r="J59" s="343"/>
      <c r="K59" s="343"/>
      <c r="L59" s="343"/>
      <c r="M59" s="343"/>
      <c r="N59" s="343"/>
      <c r="O59" s="343"/>
      <c r="P59" s="343"/>
      <c r="Q59" s="343"/>
      <c r="R59" s="343"/>
      <c r="S59" s="343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customFormat="1" ht="21.6" customHeight="1" thickBot="1" x14ac:dyDescent="0.35">
      <c r="A60" s="49"/>
      <c r="B60" s="67"/>
      <c r="C60" s="67"/>
      <c r="D60" s="404"/>
      <c r="E60" s="404"/>
      <c r="F60" s="404"/>
      <c r="G60" s="404"/>
      <c r="H60" s="404"/>
      <c r="I60" s="404"/>
      <c r="J60" s="404"/>
      <c r="K60" s="404"/>
      <c r="L60" s="404"/>
      <c r="M60" s="404"/>
      <c r="N60" s="404"/>
      <c r="O60" s="404"/>
      <c r="P60" s="404"/>
      <c r="Q60" s="404"/>
      <c r="R60" s="404"/>
      <c r="S60" s="404"/>
    </row>
    <row r="61" spans="1:32" ht="18" x14ac:dyDescent="0.3">
      <c r="B61" s="3"/>
      <c r="C61" s="68"/>
      <c r="D61" s="3"/>
      <c r="E61" s="3"/>
      <c r="F61" s="3"/>
      <c r="G61" s="69"/>
      <c r="H61" s="70"/>
      <c r="I61" s="71"/>
      <c r="J61" s="3"/>
      <c r="K61" s="72"/>
      <c r="L61" s="65"/>
      <c r="M61" s="65"/>
      <c r="N61" s="65"/>
      <c r="O61" s="65"/>
      <c r="P61" s="65"/>
      <c r="Q61" s="73"/>
      <c r="R61" s="46"/>
      <c r="S61" s="46"/>
      <c r="T61" s="3"/>
      <c r="U61" s="3"/>
    </row>
    <row r="62" spans="1:32" ht="18" x14ac:dyDescent="0.3">
      <c r="B62" s="3"/>
      <c r="C62" s="68"/>
      <c r="D62" s="3"/>
      <c r="E62" s="3"/>
      <c r="F62" s="3"/>
      <c r="G62" s="69"/>
      <c r="H62" s="70"/>
      <c r="I62" s="71"/>
      <c r="J62" s="3"/>
      <c r="K62" s="72"/>
      <c r="L62" s="65"/>
      <c r="M62" s="65"/>
      <c r="N62" s="65"/>
      <c r="O62" s="65"/>
      <c r="P62" s="65"/>
      <c r="Q62" s="3"/>
      <c r="R62" s="3"/>
      <c r="S62" s="3"/>
      <c r="T62" s="3"/>
      <c r="U62" s="3"/>
    </row>
    <row r="63" spans="1:32" ht="14.4" customHeight="1" x14ac:dyDescent="0.3">
      <c r="B63" s="3"/>
      <c r="C63" s="3"/>
      <c r="D63" s="3"/>
      <c r="E63" s="3"/>
      <c r="F63" s="357" t="s">
        <v>0</v>
      </c>
      <c r="G63" s="357"/>
      <c r="H63" s="357"/>
      <c r="I63" s="357"/>
      <c r="J63" s="357"/>
      <c r="K63" s="357"/>
      <c r="L63" s="357"/>
      <c r="M63" s="357"/>
      <c r="N63" s="357"/>
      <c r="O63" s="357"/>
      <c r="P63" s="357"/>
      <c r="Q63" s="74"/>
      <c r="R63" s="74"/>
      <c r="S63" s="74"/>
      <c r="T63" s="3"/>
      <c r="U63" s="3"/>
    </row>
    <row r="64" spans="1:32" ht="18" customHeight="1" x14ac:dyDescent="0.3">
      <c r="B64" s="4"/>
      <c r="C64" s="4"/>
      <c r="D64" s="4"/>
      <c r="F64" s="357"/>
      <c r="G64" s="357"/>
      <c r="H64" s="357"/>
      <c r="I64" s="357"/>
      <c r="J64" s="357"/>
      <c r="K64" s="357"/>
      <c r="L64" s="357"/>
      <c r="M64" s="357"/>
      <c r="N64" s="357"/>
      <c r="O64" s="357"/>
      <c r="P64" s="357"/>
      <c r="Q64" s="75"/>
      <c r="R64" s="75"/>
      <c r="S64" s="75"/>
      <c r="T64" s="3"/>
      <c r="U64" s="5"/>
    </row>
    <row r="65" spans="2:21" ht="15.6" customHeight="1" x14ac:dyDescent="0.3">
      <c r="B65" s="3"/>
      <c r="C65" s="3"/>
      <c r="D65" s="3"/>
      <c r="E65" s="76"/>
      <c r="F65" s="357"/>
      <c r="G65" s="357"/>
      <c r="H65" s="357"/>
      <c r="I65" s="357"/>
      <c r="J65" s="357"/>
      <c r="K65" s="357"/>
      <c r="L65" s="357"/>
      <c r="M65" s="357"/>
      <c r="N65" s="357"/>
      <c r="O65" s="357"/>
      <c r="P65" s="357"/>
      <c r="Q65" s="3"/>
      <c r="R65" s="3"/>
      <c r="S65" s="3"/>
      <c r="T65" s="3"/>
      <c r="U65" s="3"/>
    </row>
    <row r="66" spans="2:21" ht="15.6" x14ac:dyDescent="0.3">
      <c r="B66" s="3"/>
      <c r="C66" s="3"/>
      <c r="D66" s="3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3"/>
      <c r="Q66" s="77"/>
      <c r="R66" s="77"/>
      <c r="S66" s="77"/>
      <c r="T66" s="3"/>
      <c r="U66" s="3"/>
    </row>
    <row r="67" spans="2:21" ht="15" customHeight="1" thickBot="1" x14ac:dyDescent="0.35">
      <c r="B67" s="3"/>
      <c r="C67" s="3"/>
      <c r="D67" s="358" t="s">
        <v>293</v>
      </c>
      <c r="E67" s="358"/>
      <c r="F67" s="358" t="s">
        <v>402</v>
      </c>
      <c r="G67" s="358"/>
      <c r="H67" s="358"/>
      <c r="I67" s="358"/>
      <c r="J67" s="358"/>
      <c r="K67" s="358"/>
      <c r="L67" s="358"/>
      <c r="M67" s="358"/>
      <c r="N67" s="360" t="s">
        <v>1</v>
      </c>
      <c r="O67" s="360"/>
      <c r="P67" s="360" t="s">
        <v>292</v>
      </c>
      <c r="Q67" s="360"/>
      <c r="R67" s="360"/>
      <c r="S67" s="78"/>
      <c r="T67" s="3"/>
      <c r="U67" s="3"/>
    </row>
    <row r="68" spans="2:21" ht="26.4" customHeight="1" thickBot="1" x14ac:dyDescent="0.35">
      <c r="B68" s="3"/>
      <c r="C68" s="3"/>
      <c r="D68" s="356" t="str">
        <f>IF(D5="","",D5)</f>
        <v>Bios</v>
      </c>
      <c r="E68" s="356"/>
      <c r="F68" s="356" t="str">
        <f>IF(F5="","",F5)</f>
        <v>A10821-AGAP - PhenoMEn</v>
      </c>
      <c r="G68" s="356"/>
      <c r="H68" s="356"/>
      <c r="I68" s="356"/>
      <c r="J68" s="356"/>
      <c r="K68" s="356"/>
      <c r="L68" s="356"/>
      <c r="M68" s="356"/>
      <c r="N68" s="356">
        <f>IF(N5="","",N5)</f>
        <v>2024</v>
      </c>
      <c r="O68" s="356"/>
      <c r="P68" s="396">
        <f>IF(P5="","",P5)</f>
        <v>111</v>
      </c>
      <c r="Q68" s="396"/>
      <c r="R68" s="396"/>
      <c r="S68" s="3"/>
      <c r="T68" s="3"/>
      <c r="U68" s="3"/>
    </row>
    <row r="69" spans="2:21" ht="6" customHeight="1" x14ac:dyDescent="0.3">
      <c r="B69" s="3"/>
      <c r="C69" s="3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7"/>
      <c r="Q69" s="397"/>
      <c r="R69" s="397"/>
      <c r="S69" s="397"/>
      <c r="T69" s="3"/>
      <c r="U69" s="3"/>
    </row>
    <row r="70" spans="2:21" ht="20.100000000000001" customHeight="1" x14ac:dyDescent="0.3">
      <c r="B70" s="3"/>
      <c r="C70" s="333" t="s">
        <v>252</v>
      </c>
      <c r="D70" s="333"/>
      <c r="E70" s="333"/>
      <c r="F70" s="333"/>
      <c r="G70" s="355" t="str">
        <f>IF(D9="","",D9)</f>
        <v>BRAUD</v>
      </c>
      <c r="H70" s="355"/>
      <c r="I70" s="355"/>
      <c r="J70" s="355"/>
      <c r="K70" s="355"/>
      <c r="L70" s="7" t="s">
        <v>279</v>
      </c>
      <c r="M70" s="7"/>
      <c r="N70" s="7"/>
      <c r="O70" s="377">
        <f>IF(D7="","",D7)</f>
        <v>30392</v>
      </c>
      <c r="P70" s="377"/>
      <c r="Q70" s="377"/>
      <c r="R70" s="377"/>
      <c r="S70" s="377"/>
    </row>
    <row r="71" spans="2:21" ht="20.100000000000001" customHeight="1" x14ac:dyDescent="0.3">
      <c r="B71" s="37"/>
      <c r="C71" s="37"/>
      <c r="D71" s="354" t="s">
        <v>290</v>
      </c>
      <c r="E71" s="354"/>
      <c r="F71" s="354"/>
      <c r="G71" s="355" t="str">
        <f>IF(M9="","",M9)</f>
        <v>Oriane</v>
      </c>
      <c r="H71" s="355"/>
      <c r="I71" s="355"/>
      <c r="J71" s="7"/>
      <c r="K71" s="6"/>
      <c r="L71" s="7" t="s">
        <v>896</v>
      </c>
      <c r="M71" s="7"/>
      <c r="N71" s="7"/>
      <c r="O71" s="378" t="str">
        <f>IF(D29="","",D29)</f>
        <v>A10821-AGAP - PhenoMEn</v>
      </c>
      <c r="P71" s="378"/>
      <c r="Q71" s="378"/>
      <c r="R71" s="378"/>
      <c r="S71" s="378"/>
      <c r="T71" s="3"/>
      <c r="U71" s="3"/>
    </row>
    <row r="72" spans="2:21" ht="20.100000000000001" customHeight="1" x14ac:dyDescent="0.3">
      <c r="B72" s="3"/>
      <c r="C72" s="333" t="s">
        <v>251</v>
      </c>
      <c r="D72" s="333"/>
      <c r="E72" s="333"/>
      <c r="F72" s="333"/>
      <c r="G72" s="6" t="str">
        <f>IF(F11="","",F11)</f>
        <v>FRANCE MÉTROPOLITAINE</v>
      </c>
      <c r="H72" s="6"/>
      <c r="I72" s="6"/>
      <c r="J72" s="6"/>
      <c r="K72" s="6"/>
      <c r="L72" s="6" t="s">
        <v>897</v>
      </c>
      <c r="M72" s="31"/>
      <c r="N72" s="31"/>
      <c r="O72" s="378" t="str">
        <f>IF(J29="","",J29)</f>
        <v>C19966L01</v>
      </c>
      <c r="P72" s="378"/>
      <c r="Q72" s="378"/>
      <c r="R72" s="378"/>
      <c r="S72" s="378"/>
    </row>
    <row r="73" spans="2:21" ht="20.100000000000001" customHeight="1" x14ac:dyDescent="0.3">
      <c r="B73" s="3"/>
      <c r="C73" s="333" t="s">
        <v>913</v>
      </c>
      <c r="D73" s="333"/>
      <c r="E73" s="333"/>
      <c r="F73" s="333"/>
      <c r="G73" s="6" t="str">
        <f>IF(P11="","",P11)</f>
        <v>FRANCE MÉTROPOLITAINE</v>
      </c>
      <c r="H73" s="6"/>
      <c r="I73" s="6"/>
      <c r="J73" s="6"/>
      <c r="K73" s="6"/>
      <c r="L73" s="6" t="s">
        <v>914</v>
      </c>
      <c r="M73" s="7"/>
      <c r="N73" s="7"/>
      <c r="O73" s="378" t="str">
        <f>IF(P29="","",P29)</f>
        <v>NL-Pays-Bas</v>
      </c>
      <c r="P73" s="378"/>
      <c r="Q73" s="378"/>
      <c r="R73" s="378"/>
      <c r="S73" s="378"/>
      <c r="T73" s="3"/>
      <c r="U73" s="3"/>
    </row>
    <row r="74" spans="2:21" ht="8.1" customHeight="1" x14ac:dyDescent="0.3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8"/>
      <c r="Q74" s="3"/>
      <c r="R74" s="3"/>
      <c r="S74" s="3"/>
      <c r="T74" s="3"/>
      <c r="U74" s="3"/>
    </row>
    <row r="75" spans="2:21" ht="20.100000000000001" customHeight="1" x14ac:dyDescent="0.3">
      <c r="B75" s="3"/>
      <c r="C75" s="32" t="s">
        <v>3</v>
      </c>
      <c r="D75" s="344" t="str">
        <f>IF($D13="","",$D13)</f>
        <v>Rencontre de collaborateurs dans le projet IntercropValuES</v>
      </c>
      <c r="E75" s="345"/>
      <c r="F75" s="345"/>
      <c r="G75" s="345"/>
      <c r="H75" s="345"/>
      <c r="I75" s="345"/>
      <c r="J75" s="345"/>
      <c r="K75" s="345"/>
      <c r="L75" s="345"/>
      <c r="M75" s="345"/>
      <c r="N75" s="345"/>
      <c r="O75" s="345"/>
      <c r="P75" s="345"/>
      <c r="Q75" s="345"/>
      <c r="R75" s="345"/>
      <c r="S75" s="346"/>
      <c r="T75" s="3"/>
      <c r="U75" s="3"/>
    </row>
    <row r="76" spans="2:21" ht="20.100000000000001" customHeight="1" x14ac:dyDescent="0.3">
      <c r="B76" s="9"/>
      <c r="C76" s="33"/>
      <c r="D76" s="347"/>
      <c r="E76" s="348"/>
      <c r="F76" s="348"/>
      <c r="G76" s="348"/>
      <c r="H76" s="348"/>
      <c r="I76" s="348"/>
      <c r="J76" s="348"/>
      <c r="K76" s="348"/>
      <c r="L76" s="348"/>
      <c r="M76" s="348"/>
      <c r="N76" s="348"/>
      <c r="O76" s="348"/>
      <c r="P76" s="348"/>
      <c r="Q76" s="348"/>
      <c r="R76" s="348"/>
      <c r="S76" s="349"/>
      <c r="T76" s="3"/>
      <c r="U76" s="3"/>
    </row>
    <row r="77" spans="2:21" ht="20.100000000000001" customHeight="1" x14ac:dyDescent="0.3">
      <c r="B77" s="9"/>
      <c r="C77" s="33"/>
      <c r="D77" s="350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1"/>
      <c r="Q77" s="351"/>
      <c r="R77" s="351"/>
      <c r="S77" s="352"/>
      <c r="T77" s="3"/>
      <c r="U77" s="3"/>
    </row>
    <row r="78" spans="2:21" ht="14.4" x14ac:dyDescent="0.3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3"/>
      <c r="U78" s="3"/>
    </row>
    <row r="79" spans="2:21" ht="20.100000000000001" customHeight="1" x14ac:dyDescent="0.3">
      <c r="B79" s="7"/>
      <c r="C79" s="3"/>
      <c r="D79" s="3"/>
      <c r="E79" s="37" t="s">
        <v>480</v>
      </c>
      <c r="F79" s="26" t="s">
        <v>481</v>
      </c>
      <c r="G79" s="331">
        <f t="shared" ref="G79" si="1">IF(ISBLANK(N16),"",N16)</f>
        <v>45345</v>
      </c>
      <c r="H79" s="331"/>
      <c r="I79" s="30" t="s">
        <v>417</v>
      </c>
      <c r="J79" s="331">
        <f>IF(ISBLANK(L23),"",L23)</f>
        <v>45351</v>
      </c>
      <c r="K79" s="331"/>
      <c r="L79" s="3"/>
      <c r="M79" s="3"/>
      <c r="N79" s="7"/>
      <c r="O79" s="7"/>
      <c r="P79" s="7"/>
      <c r="Q79" s="7"/>
      <c r="R79" s="7"/>
      <c r="S79" s="7"/>
      <c r="T79" s="3"/>
      <c r="U79" s="3"/>
    </row>
    <row r="80" spans="2:21" ht="8.1" customHeight="1" x14ac:dyDescent="0.3">
      <c r="B80" s="7"/>
      <c r="C80" s="3"/>
      <c r="D80" s="3"/>
      <c r="E80" s="7"/>
      <c r="F80" s="3"/>
      <c r="G80" s="331"/>
      <c r="H80" s="331"/>
      <c r="I80" s="10"/>
      <c r="J80" s="332"/>
      <c r="K80" s="332"/>
      <c r="L80" s="332"/>
      <c r="M80" s="332"/>
      <c r="N80" s="7"/>
      <c r="O80" s="7"/>
      <c r="P80" s="7"/>
      <c r="Q80" s="7"/>
      <c r="R80" s="7"/>
      <c r="S80" s="7"/>
      <c r="T80" s="3"/>
      <c r="U80" s="3"/>
    </row>
    <row r="81" spans="2:21" ht="20.100000000000001" customHeight="1" x14ac:dyDescent="0.3">
      <c r="B81" s="7"/>
      <c r="C81" s="3"/>
      <c r="H81" s="371"/>
      <c r="I81" s="371"/>
      <c r="J81" s="34"/>
      <c r="K81" s="361" t="str">
        <f>IF(D17="","",D17&amp;"  -  "&amp;H17 )</f>
        <v>FRANCE MÉTROPOLITAINE  -  Paris</v>
      </c>
      <c r="L81" s="361"/>
      <c r="M81" s="361"/>
      <c r="N81" s="361"/>
      <c r="O81" s="361"/>
      <c r="P81" s="361"/>
      <c r="Q81" s="361"/>
      <c r="R81" s="361"/>
      <c r="S81" s="7"/>
      <c r="T81" s="3"/>
      <c r="U81" s="3"/>
    </row>
    <row r="82" spans="2:21" ht="20.100000000000001" customHeight="1" x14ac:dyDescent="0.3">
      <c r="B82" s="7"/>
      <c r="C82" s="3"/>
      <c r="H82" s="371"/>
      <c r="I82" s="371"/>
      <c r="J82" s="34"/>
      <c r="K82" s="361" t="str">
        <f>IF(D18="","",D18&amp;"  -  "&amp;H18 )</f>
        <v>PAYS-BAS  -  Wageningen</v>
      </c>
      <c r="L82" s="361"/>
      <c r="M82" s="361"/>
      <c r="N82" s="361"/>
      <c r="O82" s="361"/>
      <c r="P82" s="361"/>
      <c r="Q82" s="361"/>
      <c r="R82" s="361"/>
      <c r="S82" s="7"/>
      <c r="T82" s="3"/>
      <c r="U82" s="11"/>
    </row>
    <row r="83" spans="2:21" ht="20.100000000000001" customHeight="1" x14ac:dyDescent="0.3">
      <c r="B83" s="7"/>
      <c r="C83" s="3"/>
      <c r="H83" s="371"/>
      <c r="I83" s="371"/>
      <c r="J83" s="34"/>
      <c r="K83" s="361" t="str">
        <f t="shared" ref="K83:K85" si="2">IF(D19="","",D19&amp;"  -  "&amp;H19 )</f>
        <v/>
      </c>
      <c r="L83" s="361"/>
      <c r="M83" s="361"/>
      <c r="N83" s="361"/>
      <c r="O83" s="361"/>
      <c r="P83" s="361"/>
      <c r="Q83" s="361"/>
      <c r="R83" s="361"/>
      <c r="S83" s="7"/>
      <c r="T83" s="3"/>
      <c r="U83" s="3"/>
    </row>
    <row r="84" spans="2:21" ht="20.100000000000001" customHeight="1" x14ac:dyDescent="0.3">
      <c r="B84" s="7"/>
      <c r="C84" s="3"/>
      <c r="H84" s="371"/>
      <c r="I84" s="371"/>
      <c r="J84" s="34"/>
      <c r="K84" s="361" t="str">
        <f t="shared" si="2"/>
        <v/>
      </c>
      <c r="L84" s="361"/>
      <c r="M84" s="361"/>
      <c r="N84" s="361"/>
      <c r="O84" s="361"/>
      <c r="P84" s="361"/>
      <c r="Q84" s="361"/>
      <c r="R84" s="361"/>
      <c r="S84" s="7"/>
      <c r="T84" s="3"/>
      <c r="U84" s="3"/>
    </row>
    <row r="85" spans="2:21" ht="20.100000000000001" customHeight="1" x14ac:dyDescent="0.3">
      <c r="B85" s="7"/>
      <c r="C85" s="3"/>
      <c r="H85" s="371"/>
      <c r="I85" s="371"/>
      <c r="J85" s="34"/>
      <c r="K85" s="361" t="str">
        <f t="shared" si="2"/>
        <v/>
      </c>
      <c r="L85" s="361"/>
      <c r="M85" s="361"/>
      <c r="N85" s="361"/>
      <c r="O85" s="361"/>
      <c r="P85" s="361"/>
      <c r="Q85" s="361"/>
      <c r="R85" s="361"/>
      <c r="S85" s="7"/>
      <c r="T85" s="3"/>
      <c r="U85" s="3"/>
    </row>
    <row r="86" spans="2:21" ht="15" customHeight="1" x14ac:dyDescent="0.3">
      <c r="B86" s="7"/>
      <c r="C86" s="36"/>
      <c r="D86" s="3"/>
      <c r="E86" s="12"/>
      <c r="F86" s="7"/>
      <c r="G86" s="36"/>
      <c r="H86" s="371"/>
      <c r="I86" s="371"/>
      <c r="J86" s="34"/>
      <c r="K86" s="361" t="str">
        <f t="shared" ref="K86" si="3">IF(D22="","",D22&amp;" - "&amp;H22 )</f>
        <v/>
      </c>
      <c r="L86" s="361"/>
      <c r="M86" s="361"/>
      <c r="N86" s="361"/>
      <c r="O86" s="361"/>
      <c r="P86" s="361"/>
      <c r="Q86" s="361"/>
      <c r="R86" s="361"/>
      <c r="S86" s="7"/>
      <c r="T86" s="3"/>
      <c r="U86" s="3"/>
    </row>
    <row r="87" spans="2:21" ht="8.1" customHeight="1" x14ac:dyDescent="0.3">
      <c r="B87" s="7"/>
      <c r="D87" s="3"/>
      <c r="E87" s="3"/>
      <c r="F87" s="3"/>
      <c r="G87" s="3"/>
      <c r="H87" s="3"/>
      <c r="I87" s="3"/>
      <c r="J87" s="27"/>
      <c r="K87" s="3"/>
      <c r="L87" s="36"/>
      <c r="M87" s="36"/>
      <c r="N87" s="36"/>
      <c r="O87" s="36"/>
      <c r="P87" s="36"/>
      <c r="Q87" s="36"/>
      <c r="R87" s="36"/>
      <c r="S87" s="36"/>
      <c r="T87" s="3"/>
      <c r="U87" s="5"/>
    </row>
    <row r="88" spans="2:21" ht="20.100000000000001" customHeight="1" x14ac:dyDescent="0.3">
      <c r="B88" s="7"/>
      <c r="D88" s="3"/>
      <c r="F88" s="37" t="s">
        <v>483</v>
      </c>
      <c r="G88" s="26" t="s">
        <v>481</v>
      </c>
      <c r="H88" s="353">
        <f>IF(ISBLANK(D25),"",D25)</f>
        <v>45346</v>
      </c>
      <c r="I88" s="353"/>
      <c r="J88" s="35" t="s">
        <v>417</v>
      </c>
      <c r="K88" s="353">
        <f>IF(ISBLANK(G25),"",G25)</f>
        <v>45347</v>
      </c>
      <c r="L88" s="353"/>
      <c r="M88" s="26" t="s">
        <v>416</v>
      </c>
      <c r="N88" s="353" t="str">
        <f>IF(ISBLANK(J25),"",J25)</f>
        <v/>
      </c>
      <c r="O88" s="353"/>
      <c r="P88" s="26" t="s">
        <v>417</v>
      </c>
      <c r="Q88" s="353" t="str">
        <f>IF(ISBLANK(M25),"",M25)</f>
        <v/>
      </c>
      <c r="R88" s="353"/>
      <c r="S88" s="7"/>
      <c r="T88" s="3"/>
      <c r="U88" s="3"/>
    </row>
    <row r="89" spans="2:21" ht="20.100000000000001" customHeight="1" thickBot="1" x14ac:dyDescent="0.3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2:21" ht="5.4" customHeight="1" x14ac:dyDescent="0.3">
      <c r="B90" s="13"/>
      <c r="C90" s="13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3"/>
      <c r="U90" s="3"/>
    </row>
    <row r="91" spans="2:21" ht="20.100000000000001" customHeight="1" x14ac:dyDescent="0.3">
      <c r="B91" s="3"/>
      <c r="C91" s="3"/>
      <c r="D91" s="367" t="s">
        <v>309</v>
      </c>
      <c r="E91" s="367"/>
      <c r="F91" s="367"/>
      <c r="H91" s="15" t="s">
        <v>6</v>
      </c>
      <c r="I91" s="16"/>
      <c r="J91" s="7"/>
      <c r="K91" s="7"/>
      <c r="N91" s="15" t="s">
        <v>308</v>
      </c>
      <c r="O91" s="15"/>
      <c r="P91" s="15"/>
      <c r="Q91" s="7"/>
      <c r="R91" s="7"/>
      <c r="S91" s="7"/>
      <c r="T91" s="3"/>
      <c r="U91" s="3"/>
    </row>
    <row r="92" spans="2:21" ht="20.100000000000001" customHeight="1" x14ac:dyDescent="0.3">
      <c r="B92" s="3"/>
      <c r="C92" s="3"/>
      <c r="D92" s="367"/>
      <c r="E92" s="367"/>
      <c r="F92" s="367"/>
      <c r="H92" s="17" t="s">
        <v>252</v>
      </c>
      <c r="I92" s="361" t="str">
        <f>G70&amp;" "&amp;G71</f>
        <v>BRAUD Oriane</v>
      </c>
      <c r="J92" s="361"/>
      <c r="K92" s="361"/>
      <c r="L92" s="361"/>
      <c r="M92" s="361"/>
      <c r="N92" s="18" t="s">
        <v>2</v>
      </c>
      <c r="O92" s="368" t="s">
        <v>1789</v>
      </c>
      <c r="P92" s="368"/>
      <c r="Q92" s="368"/>
      <c r="R92" s="368"/>
      <c r="S92" s="7"/>
      <c r="T92" s="3"/>
      <c r="U92" s="3"/>
    </row>
    <row r="93" spans="2:21" ht="20.100000000000001" customHeight="1" x14ac:dyDescent="0.3">
      <c r="B93" s="3"/>
      <c r="C93" s="3"/>
      <c r="H93" s="17" t="s">
        <v>320</v>
      </c>
      <c r="I93" s="369">
        <v>45335</v>
      </c>
      <c r="J93" s="370"/>
      <c r="K93" s="7"/>
      <c r="N93" s="18" t="s">
        <v>266</v>
      </c>
      <c r="O93" s="369">
        <v>45336</v>
      </c>
      <c r="P93" s="370"/>
      <c r="Q93" s="7"/>
      <c r="R93" s="7"/>
      <c r="S93" s="7"/>
      <c r="T93" s="3"/>
      <c r="U93" s="3"/>
    </row>
    <row r="94" spans="2:21" ht="20.100000000000001" customHeight="1" x14ac:dyDescent="0.3">
      <c r="B94" s="3"/>
      <c r="C94" s="3"/>
      <c r="H94" s="17" t="s">
        <v>321</v>
      </c>
      <c r="I94" s="375"/>
      <c r="J94" s="375"/>
      <c r="K94" s="375"/>
      <c r="L94" s="375"/>
      <c r="M94" s="375"/>
      <c r="N94" s="18" t="s">
        <v>473</v>
      </c>
      <c r="O94" s="375"/>
      <c r="P94" s="375"/>
      <c r="Q94" s="375"/>
      <c r="R94" s="375"/>
      <c r="S94" s="375"/>
      <c r="T94" s="3"/>
      <c r="U94" s="3"/>
    </row>
    <row r="95" spans="2:21" ht="14.4" x14ac:dyDescent="0.3">
      <c r="B95" s="7"/>
      <c r="C95" s="3"/>
      <c r="D95" s="7"/>
      <c r="E95" s="7"/>
      <c r="F95" s="7"/>
      <c r="G95" s="7"/>
      <c r="H95" s="7"/>
      <c r="I95" s="375"/>
      <c r="J95" s="375"/>
      <c r="K95" s="375"/>
      <c r="L95" s="375"/>
      <c r="M95" s="375"/>
      <c r="N95" s="7"/>
      <c r="O95" s="375"/>
      <c r="P95" s="375"/>
      <c r="Q95" s="375"/>
      <c r="R95" s="375"/>
      <c r="S95" s="375"/>
      <c r="T95" s="3"/>
      <c r="U95" s="3"/>
    </row>
    <row r="96" spans="2:21" ht="18" x14ac:dyDescent="0.3">
      <c r="B96" s="7"/>
      <c r="C96" s="3"/>
      <c r="D96" s="376" t="s">
        <v>491</v>
      </c>
      <c r="E96" s="376"/>
      <c r="F96" s="376"/>
      <c r="G96" s="162"/>
      <c r="H96" s="7"/>
      <c r="I96" s="375"/>
      <c r="J96" s="375"/>
      <c r="K96" s="375"/>
      <c r="L96" s="375"/>
      <c r="M96" s="375"/>
      <c r="N96" s="7"/>
      <c r="O96" s="375"/>
      <c r="P96" s="375"/>
      <c r="Q96" s="375"/>
      <c r="R96" s="375"/>
      <c r="S96" s="375"/>
      <c r="T96" s="3"/>
      <c r="U96" s="3"/>
    </row>
    <row r="97" spans="2:31" ht="9.75" customHeight="1" x14ac:dyDescent="0.3">
      <c r="B97" s="7"/>
      <c r="C97" s="3"/>
      <c r="D97" s="7"/>
      <c r="E97" s="7"/>
      <c r="F97" s="7"/>
      <c r="G97" s="7"/>
      <c r="H97" s="7"/>
      <c r="I97" s="375"/>
      <c r="J97" s="375"/>
      <c r="K97" s="375"/>
      <c r="L97" s="375"/>
      <c r="M97" s="375"/>
      <c r="N97" s="7"/>
      <c r="O97" s="375"/>
      <c r="P97" s="375"/>
      <c r="Q97" s="375"/>
      <c r="R97" s="375"/>
      <c r="S97" s="375"/>
      <c r="T97" s="3"/>
      <c r="U97" s="3"/>
    </row>
    <row r="98" spans="2:31" ht="15" customHeight="1" x14ac:dyDescent="0.3">
      <c r="B98" s="7"/>
      <c r="C98" s="3"/>
      <c r="D98" s="334" t="s">
        <v>524</v>
      </c>
      <c r="E98" s="334"/>
      <c r="F98" s="334"/>
      <c r="G98" s="334"/>
      <c r="H98" s="336" t="s">
        <v>474</v>
      </c>
      <c r="I98" s="336"/>
      <c r="J98" s="336"/>
      <c r="K98" s="336"/>
      <c r="L98" s="336"/>
      <c r="M98" s="336"/>
      <c r="N98" s="336"/>
      <c r="O98" s="336"/>
      <c r="P98" s="336"/>
      <c r="Q98" s="336"/>
      <c r="R98" s="336"/>
      <c r="S98" s="7"/>
      <c r="T98" s="3"/>
      <c r="U98" s="3"/>
    </row>
    <row r="99" spans="2:31" ht="14.4" x14ac:dyDescent="0.3">
      <c r="B99" s="7"/>
      <c r="C99" s="3"/>
      <c r="D99" s="334"/>
      <c r="E99" s="334"/>
      <c r="F99" s="334"/>
      <c r="G99" s="334"/>
      <c r="H99" s="336"/>
      <c r="I99" s="336"/>
      <c r="J99" s="336"/>
      <c r="K99" s="336"/>
      <c r="L99" s="336"/>
      <c r="M99" s="336"/>
      <c r="N99" s="336"/>
      <c r="O99" s="336"/>
      <c r="P99" s="336"/>
      <c r="Q99" s="336"/>
      <c r="R99" s="336"/>
      <c r="S99" s="7"/>
      <c r="T99" s="3"/>
      <c r="U99" s="3"/>
    </row>
    <row r="100" spans="2:31" ht="14.4" x14ac:dyDescent="0.3">
      <c r="B100" s="7"/>
      <c r="C100" s="3"/>
      <c r="D100" s="334"/>
      <c r="E100" s="334"/>
      <c r="F100" s="334"/>
      <c r="G100" s="334"/>
      <c r="H100" s="336"/>
      <c r="I100" s="336"/>
      <c r="J100" s="336"/>
      <c r="K100" s="336"/>
      <c r="L100" s="336"/>
      <c r="M100" s="336"/>
      <c r="N100" s="336"/>
      <c r="O100" s="336"/>
      <c r="P100" s="336"/>
      <c r="Q100" s="336"/>
      <c r="R100" s="336"/>
      <c r="S100" s="7"/>
      <c r="T100" s="3"/>
      <c r="U100" s="3"/>
    </row>
    <row r="101" spans="2:31" ht="25.5" customHeight="1" x14ac:dyDescent="0.3">
      <c r="B101" s="7"/>
      <c r="C101" s="3"/>
      <c r="D101" s="334"/>
      <c r="E101" s="334"/>
      <c r="F101" s="334"/>
      <c r="G101" s="334"/>
      <c r="H101" s="336"/>
      <c r="I101" s="336"/>
      <c r="J101" s="336"/>
      <c r="K101" s="336"/>
      <c r="L101" s="336"/>
      <c r="M101" s="336"/>
      <c r="N101" s="336"/>
      <c r="O101" s="336"/>
      <c r="P101" s="336"/>
      <c r="Q101" s="336"/>
      <c r="R101" s="336"/>
      <c r="S101" s="7"/>
      <c r="T101" s="3"/>
      <c r="U101" s="3"/>
    </row>
    <row r="102" spans="2:31" ht="19.350000000000001" customHeight="1" x14ac:dyDescent="0.3">
      <c r="B102" s="3"/>
      <c r="D102" s="364" t="s">
        <v>4</v>
      </c>
      <c r="E102" s="364"/>
      <c r="F102" s="364"/>
      <c r="G102" s="364"/>
      <c r="H102" s="364"/>
      <c r="I102" s="364"/>
      <c r="J102" s="364"/>
      <c r="K102" s="364"/>
      <c r="L102" s="364"/>
      <c r="M102" s="364"/>
      <c r="N102" s="364"/>
      <c r="O102" s="364"/>
      <c r="P102" s="3"/>
      <c r="Q102" s="3"/>
      <c r="R102" s="3"/>
      <c r="S102" s="3"/>
      <c r="T102" s="3"/>
      <c r="U102" s="3"/>
    </row>
    <row r="103" spans="2:31" ht="19.350000000000001" customHeight="1" x14ac:dyDescent="0.3">
      <c r="B103" s="3"/>
      <c r="D103" s="335" t="s">
        <v>317</v>
      </c>
      <c r="E103" s="335"/>
      <c r="F103" s="335"/>
      <c r="G103" s="335"/>
      <c r="H103" s="365" t="s">
        <v>532</v>
      </c>
      <c r="I103" s="365"/>
      <c r="J103" s="365"/>
      <c r="K103" s="365"/>
      <c r="L103" s="365"/>
      <c r="M103" s="365"/>
      <c r="N103" s="365"/>
      <c r="O103" s="365"/>
      <c r="P103" s="365"/>
      <c r="Q103" s="365"/>
      <c r="R103" s="365"/>
      <c r="S103" s="3"/>
      <c r="T103" s="3"/>
      <c r="U103" s="3"/>
    </row>
    <row r="104" spans="2:31" ht="18.75" customHeight="1" thickBot="1" x14ac:dyDescent="0.35">
      <c r="B104" s="3"/>
      <c r="D104" s="359"/>
      <c r="E104" s="359"/>
      <c r="F104" s="359"/>
      <c r="G104" s="359"/>
      <c r="H104" s="366" t="s">
        <v>533</v>
      </c>
      <c r="I104" s="366"/>
      <c r="J104" s="366"/>
      <c r="K104" s="366"/>
      <c r="L104" s="366"/>
      <c r="M104" s="366"/>
      <c r="N104" s="366"/>
      <c r="O104" s="366"/>
      <c r="P104" s="366"/>
      <c r="Q104" s="366"/>
      <c r="R104" s="366"/>
      <c r="S104"/>
      <c r="T104" s="19"/>
      <c r="U104" s="3"/>
    </row>
    <row r="105" spans="2:31" ht="19.350000000000001" customHeight="1" x14ac:dyDescent="0.3">
      <c r="B105" s="20"/>
      <c r="E105" s="21"/>
      <c r="F105" s="21"/>
      <c r="G105" s="21"/>
      <c r="H105" s="372" t="s">
        <v>507</v>
      </c>
      <c r="I105" s="373"/>
      <c r="J105" s="373"/>
      <c r="K105" s="373"/>
      <c r="L105" s="373"/>
      <c r="M105" s="373"/>
      <c r="N105" s="373"/>
      <c r="O105" s="374"/>
      <c r="S105" s="21"/>
      <c r="T105" s="19"/>
      <c r="U105" s="3"/>
    </row>
    <row r="106" spans="2:31" ht="19.350000000000001" customHeight="1" x14ac:dyDescent="0.3">
      <c r="B106" s="3"/>
      <c r="C106" s="21"/>
      <c r="D106" s="21"/>
      <c r="E106" s="21"/>
      <c r="F106" s="21"/>
      <c r="G106" s="21"/>
      <c r="H106" s="339" t="s">
        <v>1753</v>
      </c>
      <c r="I106" s="340"/>
      <c r="J106" s="340"/>
      <c r="K106" s="340"/>
      <c r="L106" s="340"/>
      <c r="M106" s="340"/>
      <c r="N106" s="340"/>
      <c r="O106" s="28"/>
      <c r="S106" s="21"/>
      <c r="T106" s="19"/>
      <c r="U106" s="3"/>
      <c r="W106" s="21"/>
      <c r="X106" s="21"/>
      <c r="Y106" s="21"/>
      <c r="Z106" s="21"/>
      <c r="AA106" s="21"/>
      <c r="AB106" s="21"/>
      <c r="AC106" s="21"/>
      <c r="AD106" s="21"/>
      <c r="AE106" s="21"/>
    </row>
    <row r="107" spans="2:31" ht="19.350000000000001" customHeight="1" thickBot="1" x14ac:dyDescent="0.35">
      <c r="D107" s="3"/>
      <c r="E107" s="3"/>
      <c r="F107" s="3"/>
      <c r="G107" s="3"/>
      <c r="H107" s="341"/>
      <c r="I107" s="342"/>
      <c r="J107" s="342"/>
      <c r="K107" s="342"/>
      <c r="L107" s="342"/>
      <c r="M107" s="342"/>
      <c r="N107" s="342"/>
      <c r="O107" s="29"/>
      <c r="P107" s="3"/>
      <c r="Q107" s="3"/>
      <c r="R107" s="3"/>
      <c r="S107" s="3"/>
      <c r="T107" s="19"/>
      <c r="U107" s="3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</row>
    <row r="108" spans="2:31" ht="7.5" customHeight="1" x14ac:dyDescent="0.3">
      <c r="D108" s="3"/>
      <c r="E108" s="3"/>
      <c r="F108" s="3"/>
      <c r="G108" s="3"/>
      <c r="H108" s="229"/>
      <c r="I108" s="229"/>
      <c r="J108" s="229"/>
      <c r="K108" s="229"/>
      <c r="L108" s="229"/>
      <c r="M108" s="229"/>
      <c r="N108" s="229"/>
      <c r="O108" s="3"/>
      <c r="P108" s="3"/>
      <c r="Q108" s="3"/>
      <c r="R108" s="3"/>
      <c r="S108" s="3"/>
      <c r="T108" s="19"/>
      <c r="U108" s="3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</row>
    <row r="109" spans="2:31" ht="18.75" customHeight="1" x14ac:dyDescent="0.3">
      <c r="D109" s="231" t="s">
        <v>1562</v>
      </c>
      <c r="E109" s="231"/>
      <c r="F109" s="231"/>
      <c r="G109" s="231"/>
      <c r="H109" s="336" t="s">
        <v>1773</v>
      </c>
      <c r="I109" s="337"/>
      <c r="J109" s="337"/>
      <c r="K109" s="337"/>
      <c r="L109" s="337"/>
      <c r="M109" s="337"/>
      <c r="N109" s="337"/>
      <c r="O109" s="337"/>
      <c r="P109" s="337"/>
      <c r="Q109" s="337"/>
      <c r="R109" s="337"/>
      <c r="S109" s="337"/>
      <c r="T109" s="19"/>
      <c r="U109" s="3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</row>
    <row r="110" spans="2:31" ht="18.75" customHeight="1" x14ac:dyDescent="0.3">
      <c r="D110" s="3"/>
      <c r="E110" s="3"/>
      <c r="F110" s="3"/>
      <c r="G110" s="3"/>
      <c r="H110" s="337"/>
      <c r="I110" s="337"/>
      <c r="J110" s="337"/>
      <c r="K110" s="337"/>
      <c r="L110" s="337"/>
      <c r="M110" s="337"/>
      <c r="N110" s="337"/>
      <c r="O110" s="337"/>
      <c r="P110" s="337"/>
      <c r="Q110" s="337"/>
      <c r="R110" s="337"/>
      <c r="S110" s="337"/>
      <c r="T110" s="19"/>
      <c r="U110" s="3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</row>
    <row r="111" spans="2:31" ht="18.75" customHeight="1" x14ac:dyDescent="0.3">
      <c r="D111" s="3"/>
      <c r="E111" s="3"/>
      <c r="F111" s="3"/>
      <c r="G111" s="3"/>
      <c r="H111" s="337"/>
      <c r="I111" s="337"/>
      <c r="J111" s="337"/>
      <c r="K111" s="337"/>
      <c r="L111" s="337"/>
      <c r="M111" s="337"/>
      <c r="N111" s="337"/>
      <c r="O111" s="337"/>
      <c r="P111" s="337"/>
      <c r="Q111" s="337"/>
      <c r="R111" s="337"/>
      <c r="S111" s="337"/>
      <c r="T111" s="19"/>
      <c r="U111" s="3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</row>
    <row r="112" spans="2:31" ht="18.75" customHeight="1" x14ac:dyDescent="0.3">
      <c r="D112" s="3"/>
      <c r="E112" s="3"/>
      <c r="F112" s="3"/>
      <c r="G112" s="3"/>
      <c r="H112" s="337"/>
      <c r="I112" s="337"/>
      <c r="J112" s="337"/>
      <c r="K112" s="337"/>
      <c r="L112" s="337"/>
      <c r="M112" s="337"/>
      <c r="N112" s="337"/>
      <c r="O112" s="337"/>
      <c r="P112" s="337"/>
      <c r="Q112" s="337"/>
      <c r="R112" s="337"/>
      <c r="S112" s="337"/>
      <c r="T112" s="19"/>
      <c r="U112" s="3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</row>
    <row r="113" spans="1:21" ht="19.350000000000001" customHeight="1" x14ac:dyDescent="0.3">
      <c r="B113" s="362" t="s">
        <v>5</v>
      </c>
      <c r="C113" s="363"/>
      <c r="E113" s="22"/>
      <c r="F113" s="22"/>
      <c r="G113" s="22"/>
      <c r="H113" s="230"/>
      <c r="I113" s="230"/>
      <c r="J113" s="230"/>
      <c r="K113" s="230"/>
      <c r="L113" s="230"/>
      <c r="M113" s="230"/>
      <c r="N113" s="230"/>
      <c r="O113" s="19"/>
      <c r="P113" s="19"/>
      <c r="Q113" s="19"/>
      <c r="R113" s="19"/>
      <c r="S113" s="3"/>
      <c r="T113" s="19"/>
      <c r="U113" s="3"/>
    </row>
    <row r="114" spans="1:21" ht="16.5" customHeight="1" x14ac:dyDescent="0.3">
      <c r="B114" s="19"/>
      <c r="C114" s="19"/>
      <c r="D114" s="338" t="s">
        <v>1561</v>
      </c>
      <c r="E114" s="337"/>
      <c r="F114" s="337"/>
      <c r="G114" s="337"/>
      <c r="H114" s="337"/>
      <c r="I114" s="337"/>
      <c r="J114" s="337"/>
      <c r="K114" s="337"/>
      <c r="L114" s="337"/>
      <c r="M114" s="337"/>
      <c r="N114" s="337"/>
      <c r="O114" s="337"/>
      <c r="P114" s="337"/>
      <c r="Q114" s="337"/>
      <c r="R114" s="337"/>
      <c r="S114" s="337"/>
      <c r="T114" s="19"/>
      <c r="U114" s="3"/>
    </row>
    <row r="115" spans="1:21" ht="18.75" customHeight="1" x14ac:dyDescent="0.3"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3"/>
      <c r="U115" s="3"/>
    </row>
    <row r="116" spans="1:21" ht="19.350000000000001" hidden="1" customHeight="1" x14ac:dyDescent="0.3">
      <c r="B116" s="24"/>
      <c r="C116" s="24"/>
      <c r="D116" s="24"/>
      <c r="E116" s="24"/>
      <c r="F116" s="24"/>
      <c r="G116" s="24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24"/>
      <c r="T116" s="23"/>
      <c r="U116" s="3"/>
    </row>
    <row r="117" spans="1:21" ht="19.350000000000001" hidden="1" customHeight="1" x14ac:dyDescent="0.3">
      <c r="B117" s="3"/>
      <c r="C117" s="3"/>
      <c r="D117" s="3"/>
      <c r="E117" s="3"/>
      <c r="F117" s="3"/>
      <c r="G117" s="3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3"/>
      <c r="T117" s="3"/>
      <c r="U117" s="3"/>
    </row>
    <row r="118" spans="1:21" ht="19.350000000000001" hidden="1" customHeight="1" x14ac:dyDescent="0.3">
      <c r="B118" s="25"/>
      <c r="C118" s="25"/>
      <c r="D118" s="25"/>
      <c r="E118" s="25"/>
      <c r="F118" s="25"/>
      <c r="G118" s="25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25"/>
      <c r="T118" s="3"/>
      <c r="U118" s="3"/>
    </row>
    <row r="119" spans="1:21" ht="19.350000000000001" hidden="1" customHeight="1" x14ac:dyDescent="0.3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3"/>
      <c r="U119" s="3"/>
    </row>
    <row r="120" spans="1:21" ht="19.350000000000001" hidden="1" customHeight="1" x14ac:dyDescent="0.3">
      <c r="B120" s="7"/>
      <c r="C120" s="7"/>
      <c r="D120" s="7"/>
      <c r="E120" s="7"/>
      <c r="F120" s="7"/>
      <c r="G120" s="7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7"/>
      <c r="T120" s="3"/>
      <c r="U120" s="3"/>
    </row>
    <row r="121" spans="1:21" ht="19.350000000000001" hidden="1" customHeight="1" x14ac:dyDescent="0.3">
      <c r="B121" s="3"/>
      <c r="C121" s="3"/>
      <c r="D121" s="23"/>
      <c r="E121" s="2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spans="1:21" ht="19.350000000000001" hidden="1" customHeight="1" x14ac:dyDescent="0.3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1:21" ht="13.8" hidden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spans="1:21" ht="13.8" hidden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spans="1:21" ht="13.8" hidden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spans="1:21" ht="13.8" hidden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spans="1:21" ht="13.8" hidden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spans="1:21" ht="13.8" hidden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1:21" ht="13.8" hidden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spans="1:21" ht="13.8" hidden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1:21" ht="13.8" hidden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spans="1:21" ht="13.8" hidden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spans="1:21" ht="13.8" hidden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spans="1:21" ht="13.8" hidden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spans="1:21" ht="13.8" hidden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spans="1:21" ht="13.8" hidden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spans="1:21" ht="13.8" hidden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spans="1:21" ht="13.8" hidden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spans="1:21" ht="13.8" hidden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spans="1:21" ht="13.8" hidden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spans="1:21" ht="13.8" hidden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spans="1:21" ht="13.8" hidden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spans="1:21" ht="13.8" hidden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spans="1:21" ht="13.8" hidden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spans="1:21" ht="13.8" hidden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spans="1:21" ht="13.8" hidden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spans="1:21" ht="13.8" hidden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spans="1:21" ht="13.8" hidden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spans="1:21" ht="13.8" hidden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spans="1:21" ht="13.8" hidden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spans="1:21" ht="13.8" hidden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spans="1:21" ht="13.8" hidden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spans="1:21" ht="13.8" hidden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spans="1:21" ht="13.8" hidden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spans="1:21" ht="13.8" hidden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spans="1:21" ht="13.8" hidden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spans="1:21" ht="13.8" hidden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spans="1:21" ht="13.8" hidden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spans="1:21" ht="13.8" hidden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spans="1:21" ht="13.8" hidden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spans="1:21" ht="13.8" hidden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spans="1:21" ht="13.8" hidden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spans="1:21" ht="13.8" hidden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spans="1:21" ht="13.8" hidden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spans="1:21" ht="13.8" hidden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spans="1:21" ht="13.8" hidden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spans="1:21" ht="13.8" hidden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spans="1:21" ht="13.8" hidden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spans="1:21" ht="13.8" hidden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spans="1:21" ht="13.8" hidden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spans="1:21" ht="13.8" hidden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spans="1:21" ht="13.8" hidden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spans="1:21" ht="13.8" hidden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spans="1:21" ht="13.8" hidden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spans="1:21" ht="13.8" hidden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spans="1:21" ht="13.8" hidden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spans="1:21" ht="13.8" hidden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spans="1:21" ht="13.8" hidden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spans="1:21" ht="13.8" hidden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spans="1:21" ht="13.8" hidden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spans="1:21" ht="13.8" hidden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spans="1:21" ht="13.8" hidden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spans="1:21" ht="13.8" hidden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spans="1:21" ht="13.8" hidden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spans="1:21" ht="13.8" hidden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spans="1:21" ht="13.8" hidden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spans="1:21" ht="13.8" hidden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spans="1:21" ht="13.8" hidden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spans="1:21" ht="13.8" hidden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spans="1:21" ht="13.8" hidden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spans="1:21" ht="13.8" hidden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spans="1:21" ht="13.8" hidden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spans="1:21" ht="13.8" hidden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spans="1:21" ht="13.8" hidden="1" x14ac:dyDescent="0.3">
      <c r="A194" s="3"/>
      <c r="B194" s="3"/>
      <c r="C194" s="3"/>
      <c r="D194" s="3"/>
      <c r="E194" s="3"/>
      <c r="F194" s="3"/>
      <c r="G194" s="3"/>
      <c r="S194" s="3"/>
      <c r="T194" s="3"/>
      <c r="U194" s="3"/>
    </row>
    <row r="195" spans="1:21" x14ac:dyDescent="0.3"/>
    <row r="196" spans="1:21" x14ac:dyDescent="0.3"/>
    <row r="197" spans="1:21" x14ac:dyDescent="0.3"/>
    <row r="198" spans="1:21" x14ac:dyDescent="0.3"/>
    <row r="199" spans="1:21" x14ac:dyDescent="0.3"/>
    <row r="200" spans="1:21" x14ac:dyDescent="0.3"/>
    <row r="201" spans="1:21" x14ac:dyDescent="0.3"/>
    <row r="202" spans="1:21" x14ac:dyDescent="0.3"/>
    <row r="203" spans="1:21" x14ac:dyDescent="0.3"/>
    <row r="204" spans="1:21" x14ac:dyDescent="0.3"/>
    <row r="205" spans="1:21" x14ac:dyDescent="0.3"/>
    <row r="206" spans="1:21" x14ac:dyDescent="0.3"/>
  </sheetData>
  <sheetProtection algorithmName="SHA-512" hashValue="crpdYYkDu7/JTw86j4DkodmmaaVbVQN99TkvVLSa+Pv3/9hOqudVD0PlmiNUV1j6dgAI8jT+V4Aae9wwggXo6A==" saltValue="EOu/tBfFRjPQ3Sjk0DZ6nw==" spinCount="100000" sheet="1" scenarios="1" selectLockedCells="1"/>
  <mergeCells count="196">
    <mergeCell ref="B21:C21"/>
    <mergeCell ref="D21:G21"/>
    <mergeCell ref="H21:K21"/>
    <mergeCell ref="L21:M21"/>
    <mergeCell ref="N21:O21"/>
    <mergeCell ref="P27:S27"/>
    <mergeCell ref="J7:S7"/>
    <mergeCell ref="P11:S11"/>
    <mergeCell ref="B20:C20"/>
    <mergeCell ref="D20:G20"/>
    <mergeCell ref="H20:K20"/>
    <mergeCell ref="L20:M20"/>
    <mergeCell ref="N20:O20"/>
    <mergeCell ref="Q20:R20"/>
    <mergeCell ref="B15:C15"/>
    <mergeCell ref="N15:O15"/>
    <mergeCell ref="P15:S15"/>
    <mergeCell ref="B16:C16"/>
    <mergeCell ref="P18:S19"/>
    <mergeCell ref="B19:C19"/>
    <mergeCell ref="D19:G19"/>
    <mergeCell ref="H19:K19"/>
    <mergeCell ref="L19:M19"/>
    <mergeCell ref="B17:C17"/>
    <mergeCell ref="N19:O19"/>
    <mergeCell ref="D17:G17"/>
    <mergeCell ref="H17:K17"/>
    <mergeCell ref="L17:M17"/>
    <mergeCell ref="N17:O17"/>
    <mergeCell ref="D18:G18"/>
    <mergeCell ref="H18:K18"/>
    <mergeCell ref="L18:M18"/>
    <mergeCell ref="N18:O18"/>
    <mergeCell ref="B18:C18"/>
    <mergeCell ref="H7:I7"/>
    <mergeCell ref="D16:G16"/>
    <mergeCell ref="D7:E7"/>
    <mergeCell ref="H16:K16"/>
    <mergeCell ref="L16:M16"/>
    <mergeCell ref="N16:O16"/>
    <mergeCell ref="Q16:R16"/>
    <mergeCell ref="D15:G15"/>
    <mergeCell ref="H15:K15"/>
    <mergeCell ref="L15:M15"/>
    <mergeCell ref="F7:G7"/>
    <mergeCell ref="D9:J9"/>
    <mergeCell ref="M9:S9"/>
    <mergeCell ref="F11:J11"/>
    <mergeCell ref="E2:O3"/>
    <mergeCell ref="Q2:S2"/>
    <mergeCell ref="Q3:S3"/>
    <mergeCell ref="D4:E4"/>
    <mergeCell ref="F4:M4"/>
    <mergeCell ref="N4:O4"/>
    <mergeCell ref="D5:E5"/>
    <mergeCell ref="F5:M5"/>
    <mergeCell ref="N5:O5"/>
    <mergeCell ref="P5:Q5"/>
    <mergeCell ref="P4:Q4"/>
    <mergeCell ref="R5:S5"/>
    <mergeCell ref="R4:S4"/>
    <mergeCell ref="B22:C22"/>
    <mergeCell ref="D22:G22"/>
    <mergeCell ref="H22:K22"/>
    <mergeCell ref="L22:M22"/>
    <mergeCell ref="N22:O22"/>
    <mergeCell ref="P22:S23"/>
    <mergeCell ref="B23:C23"/>
    <mergeCell ref="D23:G23"/>
    <mergeCell ref="H23:K23"/>
    <mergeCell ref="L23:M23"/>
    <mergeCell ref="L31:T31"/>
    <mergeCell ref="B32:G32"/>
    <mergeCell ref="H32:O32"/>
    <mergeCell ref="N23:O23"/>
    <mergeCell ref="B25:C25"/>
    <mergeCell ref="D25:E25"/>
    <mergeCell ref="G25:H25"/>
    <mergeCell ref="J25:K25"/>
    <mergeCell ref="M25:N25"/>
    <mergeCell ref="D29:G29"/>
    <mergeCell ref="J29:N29"/>
    <mergeCell ref="P29:S29"/>
    <mergeCell ref="B27:C27"/>
    <mergeCell ref="D27:N27"/>
    <mergeCell ref="Q25:R25"/>
    <mergeCell ref="B31:G31"/>
    <mergeCell ref="H31:K31"/>
    <mergeCell ref="B33:S33"/>
    <mergeCell ref="B34:C36"/>
    <mergeCell ref="M34:S34"/>
    <mergeCell ref="N36:O36"/>
    <mergeCell ref="E34:L34"/>
    <mergeCell ref="E36:M36"/>
    <mergeCell ref="E35:M35"/>
    <mergeCell ref="N35:O35"/>
    <mergeCell ref="B40:S40"/>
    <mergeCell ref="Q41:S41"/>
    <mergeCell ref="Q42:S42"/>
    <mergeCell ref="B44:S44"/>
    <mergeCell ref="I37:S37"/>
    <mergeCell ref="B39:P39"/>
    <mergeCell ref="Q39:S39"/>
    <mergeCell ref="F37:H37"/>
    <mergeCell ref="B41:L41"/>
    <mergeCell ref="B42:L42"/>
    <mergeCell ref="B59:C59"/>
    <mergeCell ref="D59:S60"/>
    <mergeCell ref="B45:P45"/>
    <mergeCell ref="Q45:S45"/>
    <mergeCell ref="B46:P46"/>
    <mergeCell ref="Q46:S46"/>
    <mergeCell ref="B47:P47"/>
    <mergeCell ref="Q47:S47"/>
    <mergeCell ref="O71:S71"/>
    <mergeCell ref="K55:P55"/>
    <mergeCell ref="I55:J55"/>
    <mergeCell ref="N68:O68"/>
    <mergeCell ref="Q53:S53"/>
    <mergeCell ref="O53:P53"/>
    <mergeCell ref="M53:N53"/>
    <mergeCell ref="O54:P54"/>
    <mergeCell ref="M54:N54"/>
    <mergeCell ref="B54:L54"/>
    <mergeCell ref="O94:S97"/>
    <mergeCell ref="D96:F96"/>
    <mergeCell ref="C73:F73"/>
    <mergeCell ref="O70:S70"/>
    <mergeCell ref="O72:S72"/>
    <mergeCell ref="O73:S73"/>
    <mergeCell ref="B48:P48"/>
    <mergeCell ref="Q48:S48"/>
    <mergeCell ref="B49:S49"/>
    <mergeCell ref="B50:P50"/>
    <mergeCell ref="Q50:S50"/>
    <mergeCell ref="B51:P51"/>
    <mergeCell ref="Q51:S51"/>
    <mergeCell ref="N67:O67"/>
    <mergeCell ref="B52:P52"/>
    <mergeCell ref="Q52:S52"/>
    <mergeCell ref="Q54:S54"/>
    <mergeCell ref="Q55:S55"/>
    <mergeCell ref="P68:R68"/>
    <mergeCell ref="D69:S69"/>
    <mergeCell ref="B56:P56"/>
    <mergeCell ref="Q56:S56"/>
    <mergeCell ref="B57:P57"/>
    <mergeCell ref="Q57:S57"/>
    <mergeCell ref="D104:G104"/>
    <mergeCell ref="P67:R67"/>
    <mergeCell ref="K84:R84"/>
    <mergeCell ref="K85:R85"/>
    <mergeCell ref="B113:C113"/>
    <mergeCell ref="D102:O102"/>
    <mergeCell ref="H103:R103"/>
    <mergeCell ref="H104:R104"/>
    <mergeCell ref="H98:R101"/>
    <mergeCell ref="D91:F92"/>
    <mergeCell ref="I92:M92"/>
    <mergeCell ref="O92:R92"/>
    <mergeCell ref="I93:J93"/>
    <mergeCell ref="O93:P93"/>
    <mergeCell ref="H88:I88"/>
    <mergeCell ref="K88:L88"/>
    <mergeCell ref="N88:O88"/>
    <mergeCell ref="H81:I86"/>
    <mergeCell ref="K82:R82"/>
    <mergeCell ref="K83:R83"/>
    <mergeCell ref="H105:O105"/>
    <mergeCell ref="K86:R86"/>
    <mergeCell ref="K81:R81"/>
    <mergeCell ref="I94:M97"/>
    <mergeCell ref="B4:C4"/>
    <mergeCell ref="A5:C5"/>
    <mergeCell ref="G80:H80"/>
    <mergeCell ref="J80:M80"/>
    <mergeCell ref="C72:F72"/>
    <mergeCell ref="D98:G101"/>
    <mergeCell ref="D103:G103"/>
    <mergeCell ref="H109:S112"/>
    <mergeCell ref="D114:S114"/>
    <mergeCell ref="H106:N107"/>
    <mergeCell ref="D13:S13"/>
    <mergeCell ref="D75:S77"/>
    <mergeCell ref="Q88:R88"/>
    <mergeCell ref="G79:H79"/>
    <mergeCell ref="J79:K79"/>
    <mergeCell ref="D71:F71"/>
    <mergeCell ref="G71:I71"/>
    <mergeCell ref="D68:E68"/>
    <mergeCell ref="F68:M68"/>
    <mergeCell ref="C70:F70"/>
    <mergeCell ref="G70:K70"/>
    <mergeCell ref="F63:P65"/>
    <mergeCell ref="D67:E67"/>
    <mergeCell ref="F67:M67"/>
  </mergeCells>
  <dataValidations count="14">
    <dataValidation type="date" operator="greaterThanOrEqual" allowBlank="1" showInputMessage="1" showErrorMessage="1" error="Saisir une date supérieure ou égale à la date précédente" sqref="L17:M23" xr:uid="{00000000-0002-0000-0100-000000000000}">
      <formula1>N16</formula1>
    </dataValidation>
    <dataValidation type="date" operator="greaterThanOrEqual" allowBlank="1" showInputMessage="1" showErrorMessage="1" error="Saisir une date supérieure ou égale à la date précédente" sqref="N17:O22" xr:uid="{00000000-0002-0000-0100-000001000000}">
      <formula1>L17</formula1>
    </dataValidation>
    <dataValidation type="whole" operator="lessThanOrEqual" allowBlank="1" showInputMessage="1" showErrorMessage="1" errorTitle="Attention !!" error="Votre avance doit être inférieure à vos frais engagés !" sqref="Q61" xr:uid="{00000000-0002-0000-0100-000002000000}">
      <formula1>#REF!</formula1>
    </dataValidation>
    <dataValidation type="list" allowBlank="1" showInputMessage="1" showErrorMessage="1" errorTitle="&lt;&lt;Attention&gt;&gt;" error="cela ne fait pas parti de la liste." sqref="D17:D22" xr:uid="{00000000-0002-0000-0100-000003000000}">
      <formula1>pays</formula1>
    </dataValidation>
    <dataValidation type="list" allowBlank="1" showInputMessage="1" showErrorMessage="1" errorTitle="&lt;&lt;Attention&gt;&gt;" error="Cela ne fait pas parti de la liste." sqref="J12" xr:uid="{00000000-0002-0000-0100-000004000000}">
      <formula1>pays</formula1>
    </dataValidation>
    <dataValidation allowBlank="1" showInputMessage="1" showErrorMessage="1" errorTitle="&lt;&lt;Attention&gt;&gt;" error="Cela ne fait pas parti de la liste." sqref="K11 N11" xr:uid="{00000000-0002-0000-0100-000005000000}"/>
    <dataValidation type="list" allowBlank="1" showInputMessage="1" showErrorMessage="1" errorTitle="Attention" error="Veuillez svp utiliser la liste déroulante" sqref="D16:G16 D23:G23 F11:J11" xr:uid="{00000000-0002-0000-0100-000006000000}">
      <formula1>pays</formula1>
    </dataValidation>
    <dataValidation type="list" allowBlank="1" showInputMessage="1" showErrorMessage="1" sqref="P29:S29" xr:uid="{00000000-0002-0000-0100-000007000000}">
      <formula1>Géo</formula1>
    </dataValidation>
    <dataValidation type="list" allowBlank="1" showInputMessage="1" showErrorMessage="1" sqref="J7:S7" xr:uid="{00000000-0002-0000-0100-000008000000}">
      <formula1>contrat</formula1>
    </dataValidation>
    <dataValidation type="list" allowBlank="1" showInputMessage="1" showErrorMessage="1" sqref="D27:N27" xr:uid="{00000000-0002-0000-0100-000009000000}">
      <formula1>pays</formula1>
    </dataValidation>
    <dataValidation type="whole" allowBlank="1" showInputMessage="1" showErrorMessage="1" error="Le n° ordre doit être compris entre 1 et 999" sqref="P5:Q5" xr:uid="{00000000-0002-0000-0100-00000A000000}">
      <formula1>1</formula1>
      <formula2>999</formula2>
    </dataValidation>
    <dataValidation type="custom" allowBlank="1" showInputMessage="1" showErrorMessage="1" error="Cette zone n'est pas obligatoire._x000a_Saisir l'acronyme du Grand Projet sur 2 caractères maximum" sqref="R5:S5" xr:uid="{00000000-0002-0000-0100-00000B000000}">
      <formula1>LEN(R5)&lt;=2</formula1>
    </dataValidation>
    <dataValidation type="whole" allowBlank="1" showInputMessage="1" showErrorMessage="1" error="le Matricule est Numérique uniquement" sqref="D7:E7" xr:uid="{D7654DA0-11D3-482A-8FDB-8B0AFFC2154B}">
      <formula1>100</formula1>
      <formula2>99999</formula2>
    </dataValidation>
    <dataValidation type="textLength" allowBlank="1" showInputMessage="1" showErrorMessage="1" error="Valeur comprise entre 7 et 9 Caractères Alphanumériques" sqref="J29:N29" xr:uid="{57BBDEED-4771-47AB-BF21-5C7E15A99413}">
      <formula1>7</formula1>
      <formula2>9</formula2>
    </dataValidation>
  </dataValidations>
  <hyperlinks>
    <hyperlink ref="H104" r:id="rId1" display="http://intranet-securite.cirad.fr/prevention-et-consignes/securite-a-l-etranger" xr:uid="{00000000-0004-0000-0100-000000000000}"/>
    <hyperlink ref="B113" r:id="rId2" xr:uid="{00000000-0004-0000-0100-000001000000}"/>
    <hyperlink ref="L31" r:id="rId3" xr:uid="{00000000-0004-0000-0100-000002000000}"/>
    <hyperlink ref="H32" r:id="rId4" display="Interlocuteurs G2M et Pays de gestion de la mission " xr:uid="{00000000-0004-0000-0100-000003000000}"/>
    <hyperlink ref="D96:G96" location="'Mention CNIL'!A1" display="Mention CNIL" xr:uid="{00000000-0004-0000-0100-000004000000}"/>
    <hyperlink ref="H103:R103" r:id="rId5" display="Protocole de Sécurisation" xr:uid="{00000000-0004-0000-0100-000005000000}"/>
    <hyperlink ref="H104:R104" r:id="rId6" display="http://intranet-dsst.cirad.fr/missions-et-mobilite/conseils" xr:uid="{00000000-0004-0000-0100-000006000000}"/>
    <hyperlink ref="H32:O32" r:id="rId7" display="Interlocuteurs G2M" xr:uid="{00000000-0004-0000-0100-000007000000}"/>
    <hyperlink ref="L31:T31" r:id="rId8" display="Informations pratiques concernant la sécurité à l'étranger" xr:uid="{00000000-0004-0000-0100-000008000000}"/>
    <hyperlink ref="H31:K31" r:id="rId9" display="Protocole de sécurisation" xr:uid="{00000000-0004-0000-0100-000009000000}"/>
  </hyperlinks>
  <printOptions horizontalCentered="1" verticalCentered="1"/>
  <pageMargins left="0.19685039370078741" right="0.19685039370078741" top="0.11811023622047245" bottom="0.23622047244094491" header="0.11811023622047245" footer="0.19685039370078741"/>
  <pageSetup paperSize="9" scale="82" fitToHeight="2" orientation="portrait" cellComments="asDisplayed" r:id="rId10"/>
  <rowBreaks count="1" manualBreakCount="1">
    <brk id="60" max="19" man="1"/>
  </rowBreaks>
  <drawing r:id="rId1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D000000}">
          <x14:formula1>
            <xm:f>Pays!$R$2:$R$7</xm:f>
          </x14:formula1>
          <xm:sqref>P11:S11</xm:sqref>
        </x14:dataValidation>
        <x14:dataValidation type="list" allowBlank="1" showInputMessage="1" showErrorMessage="1" xr:uid="{00000000-0002-0000-0100-00000C000000}">
          <x14:formula1>
            <xm:f>'Liste Structure'!$C$2:$C$129</xm:f>
          </x14:formula1>
          <xm:sqref>F5:M5 D29:G29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AO180"/>
  <sheetViews>
    <sheetView showGridLines="0" tabSelected="1" topLeftCell="A145" zoomScale="90" zoomScaleNormal="90" workbookViewId="0">
      <selection activeCell="M93" sqref="M93:N93"/>
    </sheetView>
  </sheetViews>
  <sheetFormatPr defaultColWidth="11.44140625" defaultRowHeight="14.4" zeroHeight="1" x14ac:dyDescent="0.3"/>
  <cols>
    <col min="1" max="1" width="0.88671875" style="7" customWidth="1"/>
    <col min="2" max="2" width="4.44140625" style="7" customWidth="1"/>
    <col min="3" max="3" width="3.44140625" style="7" customWidth="1"/>
    <col min="4" max="7" width="6.6640625" style="7" customWidth="1"/>
    <col min="8" max="8" width="6" style="7" customWidth="1"/>
    <col min="9" max="9" width="8.44140625" style="7" customWidth="1"/>
    <col min="10" max="10" width="11" style="7" customWidth="1"/>
    <col min="11" max="11" width="4.44140625" style="7" customWidth="1"/>
    <col min="12" max="12" width="11" style="7" bestFit="1" customWidth="1"/>
    <col min="13" max="13" width="8.88671875" style="7" customWidth="1"/>
    <col min="14" max="14" width="4.88671875" style="7" customWidth="1"/>
    <col min="15" max="15" width="8.44140625" style="7" customWidth="1"/>
    <col min="16" max="16" width="9.109375" style="7" customWidth="1"/>
    <col min="17" max="17" width="7.44140625" style="7" customWidth="1"/>
    <col min="18" max="18" width="6.88671875" style="7" customWidth="1"/>
    <col min="19" max="19" width="10.6640625" style="7" customWidth="1"/>
    <col min="20" max="20" width="7.88671875" style="7" customWidth="1"/>
    <col min="21" max="21" width="6.6640625" style="7" customWidth="1"/>
    <col min="22" max="22" width="8.44140625" style="7" customWidth="1"/>
    <col min="23" max="23" width="2.33203125" style="7" customWidth="1"/>
    <col min="24" max="25" width="11.44140625" style="7" hidden="1" customWidth="1"/>
    <col min="26" max="26" width="13.44140625" style="7" hidden="1" customWidth="1"/>
    <col min="27" max="27" width="2.6640625" style="7" hidden="1" customWidth="1"/>
    <col min="28" max="29" width="15.33203125" style="7" hidden="1" customWidth="1"/>
    <col min="30" max="37" width="10.6640625" style="7" hidden="1" customWidth="1"/>
    <col min="38" max="41" width="11.44140625" style="7" hidden="1" customWidth="1"/>
    <col min="42" max="62" width="11.44140625" style="7" customWidth="1"/>
    <col min="63" max="16384" width="11.44140625" style="7"/>
  </cols>
  <sheetData>
    <row r="1" spans="2:38" ht="5.0999999999999996" customHeight="1" x14ac:dyDescent="0.3"/>
    <row r="2" spans="2:38" ht="18.600000000000001" customHeight="1" x14ac:dyDescent="0.3">
      <c r="G2" s="530" t="s">
        <v>311</v>
      </c>
      <c r="H2" s="530"/>
      <c r="I2" s="530"/>
      <c r="J2" s="530"/>
      <c r="K2" s="530"/>
      <c r="L2" s="530"/>
      <c r="M2" s="530"/>
      <c r="N2" s="530"/>
      <c r="O2" s="530"/>
      <c r="P2" s="530"/>
      <c r="Q2" s="530"/>
      <c r="R2" s="530"/>
      <c r="T2" s="518" t="str">
        <f>ODM!Q2</f>
        <v>Formulaire DCAF</v>
      </c>
      <c r="U2" s="519"/>
      <c r="V2" s="520"/>
      <c r="W2" s="244"/>
    </row>
    <row r="3" spans="2:38" ht="20.25" customHeight="1" thickBot="1" x14ac:dyDescent="0.35">
      <c r="F3" s="79"/>
      <c r="G3" s="521" t="str">
        <f>IF(ODM!D5="","",ODM!D5)</f>
        <v>Bios</v>
      </c>
      <c r="H3" s="521"/>
      <c r="I3" s="522" t="str">
        <f>IF(ODM!F5="","",ODM!F5)</f>
        <v>A10821-AGAP - PhenoMEn</v>
      </c>
      <c r="J3" s="523"/>
      <c r="K3" s="523"/>
      <c r="L3" s="523"/>
      <c r="M3" s="523"/>
      <c r="N3" s="524"/>
      <c r="O3" s="525">
        <f>IF(ODM!N5="","",ODM!N5)</f>
        <v>2024</v>
      </c>
      <c r="P3" s="525"/>
      <c r="Q3" s="526">
        <f>IF(ODM!P5="","",ODM!P5)</f>
        <v>111</v>
      </c>
      <c r="R3" s="526"/>
      <c r="S3" s="26"/>
      <c r="T3" s="527" t="str">
        <f>ODM!Q3</f>
        <v>24/01/2024</v>
      </c>
      <c r="U3" s="528"/>
      <c r="V3" s="529"/>
      <c r="W3" s="244"/>
      <c r="AB3" s="181" t="str">
        <f>ODM!W5</f>
        <v>A10821-24-111</v>
      </c>
    </row>
    <row r="4" spans="2:38" ht="27" customHeight="1" thickBot="1" x14ac:dyDescent="0.35">
      <c r="F4" s="79" t="s">
        <v>1680</v>
      </c>
      <c r="G4" s="484" t="str">
        <f>IF(ODM!W5="","",ODM!W5)</f>
        <v>A10821-24-111</v>
      </c>
      <c r="H4" s="484"/>
      <c r="I4" s="80"/>
      <c r="J4" s="80"/>
      <c r="K4" s="80"/>
      <c r="L4" s="80"/>
      <c r="M4" s="80"/>
      <c r="N4" s="80"/>
      <c r="O4" s="80"/>
      <c r="P4" s="80"/>
      <c r="Q4" s="80"/>
      <c r="R4" s="80"/>
      <c r="S4" s="26"/>
      <c r="T4" s="123"/>
      <c r="U4" s="123"/>
      <c r="V4" s="123"/>
      <c r="W4" s="244"/>
    </row>
    <row r="5" spans="2:38" ht="15" thickBot="1" x14ac:dyDescent="0.35">
      <c r="E5" s="79" t="s">
        <v>310</v>
      </c>
      <c r="F5" s="81" t="str">
        <f>ODM!Q16</f>
        <v>NON</v>
      </c>
      <c r="K5" s="79" t="s">
        <v>505</v>
      </c>
      <c r="L5" s="82" t="s">
        <v>325</v>
      </c>
      <c r="M5" s="248"/>
      <c r="Q5" s="79" t="s">
        <v>403</v>
      </c>
      <c r="R5" s="541"/>
      <c r="S5" s="541"/>
      <c r="T5" s="83" t="s">
        <v>412</v>
      </c>
      <c r="U5" s="542"/>
      <c r="V5" s="542"/>
      <c r="W5" s="244"/>
      <c r="Z5" s="3" t="s">
        <v>901</v>
      </c>
      <c r="AB5" s="181" t="str">
        <f>ODM!W7</f>
        <v>ALLR</v>
      </c>
    </row>
    <row r="6" spans="2:38" ht="15.6" x14ac:dyDescent="0.3">
      <c r="E6" s="79" t="s">
        <v>294</v>
      </c>
      <c r="F6" s="543" t="str">
        <f>ODM!D9&amp;"  "&amp;ODM!M9</f>
        <v>BRAUD  Oriane</v>
      </c>
      <c r="G6" s="543"/>
      <c r="H6" s="543"/>
      <c r="I6" s="543"/>
      <c r="J6" s="543"/>
      <c r="K6" s="543"/>
      <c r="L6" s="79" t="s">
        <v>279</v>
      </c>
      <c r="M6" s="547">
        <f>IF(ODM!D7="","",ODM!D7)</f>
        <v>30392</v>
      </c>
      <c r="N6" s="547"/>
      <c r="P6" s="79" t="s">
        <v>1550</v>
      </c>
      <c r="Q6" s="548" t="str">
        <f>IF(ISBLANK(ODM!J7),"",ODM!J7)</f>
        <v>Doctorant Cirad</v>
      </c>
      <c r="R6" s="549"/>
      <c r="S6" s="549"/>
      <c r="T6" s="549"/>
      <c r="U6" s="549"/>
      <c r="V6" s="550"/>
      <c r="W6" s="244"/>
      <c r="Z6" s="3" t="s">
        <v>582</v>
      </c>
      <c r="AB6" s="181" t="str">
        <f>IF(ISNA(INDEX('Liste Structure'!C2:D129,MATCH(D26,'Liste Structure'!C2:C129,0),2)),"",INDEX('Liste Structure'!C2:D129,MATCH(D26,'Liste Structure'!C2:C129,0),2))</f>
        <v>A10821</v>
      </c>
    </row>
    <row r="7" spans="2:38" ht="15.6" x14ac:dyDescent="0.3">
      <c r="C7" s="84"/>
      <c r="E7" s="79" t="s">
        <v>407</v>
      </c>
      <c r="F7" s="494" t="str">
        <f>IF(ODM!F11="","",ODM!F11)</f>
        <v>FRANCE MÉTROPOLITAINE</v>
      </c>
      <c r="G7" s="494"/>
      <c r="H7" s="494"/>
      <c r="I7" s="494"/>
      <c r="J7" s="494"/>
      <c r="K7" s="494"/>
      <c r="L7" s="117"/>
      <c r="M7" s="117"/>
      <c r="N7" s="117"/>
      <c r="O7" s="203"/>
      <c r="P7" s="79" t="s">
        <v>1543</v>
      </c>
      <c r="Q7" s="494" t="str">
        <f>IF(ODM!P11="","",ODM!P11)</f>
        <v>FRANCE MÉTROPOLITAINE</v>
      </c>
      <c r="R7" s="494"/>
      <c r="S7" s="494"/>
      <c r="T7" s="494"/>
      <c r="U7" s="494"/>
      <c r="V7" s="494"/>
      <c r="W7" s="244"/>
      <c r="X7" s="85"/>
      <c r="Z7" s="3" t="s">
        <v>1546</v>
      </c>
      <c r="AB7" s="227" t="str">
        <f>K26</f>
        <v>C19966L01</v>
      </c>
    </row>
    <row r="8" spans="2:38" ht="15.75" customHeight="1" x14ac:dyDescent="0.3">
      <c r="B8" s="82" t="s">
        <v>248</v>
      </c>
      <c r="D8" s="495" t="str">
        <f>IF(ODM!D13="","",ODM!D13)</f>
        <v>Rencontre de collaborateurs dans le projet IntercropValuES</v>
      </c>
      <c r="E8" s="495"/>
      <c r="F8" s="495"/>
      <c r="G8" s="495"/>
      <c r="H8" s="495"/>
      <c r="I8" s="495"/>
      <c r="J8" s="495"/>
      <c r="K8" s="495"/>
      <c r="L8" s="495"/>
      <c r="M8" s="495"/>
      <c r="N8" s="495"/>
      <c r="O8" s="495"/>
      <c r="P8" s="495"/>
      <c r="Q8" s="495"/>
      <c r="R8" s="495"/>
      <c r="S8" s="495"/>
      <c r="T8" s="495"/>
      <c r="U8" s="495"/>
      <c r="V8" s="495"/>
      <c r="W8" s="244"/>
      <c r="X8" s="85"/>
      <c r="Z8" s="3" t="s">
        <v>916</v>
      </c>
      <c r="AB8" s="181" t="str">
        <f>IF(ISNA(INDEX('Liste Géo'!C2:D260,MATCH(R26,Géo,0),2)),"",INDEX('Liste Géo'!C2:D260,MATCH(R26,Géo,0),2))</f>
        <v>NL</v>
      </c>
    </row>
    <row r="9" spans="2:38" ht="14.25" customHeight="1" x14ac:dyDescent="0.3">
      <c r="C9" s="79"/>
      <c r="D9" s="495"/>
      <c r="E9" s="495"/>
      <c r="F9" s="495"/>
      <c r="G9" s="495"/>
      <c r="H9" s="495"/>
      <c r="I9" s="495"/>
      <c r="J9" s="495"/>
      <c r="K9" s="495"/>
      <c r="L9" s="495"/>
      <c r="M9" s="495"/>
      <c r="N9" s="495"/>
      <c r="O9" s="495"/>
      <c r="P9" s="495"/>
      <c r="Q9" s="495"/>
      <c r="R9" s="495"/>
      <c r="S9" s="495"/>
      <c r="T9" s="495"/>
      <c r="U9" s="495"/>
      <c r="V9" s="495"/>
      <c r="W9" s="244"/>
      <c r="X9" s="85"/>
    </row>
    <row r="10" spans="2:38" ht="5.0999999999999996" customHeight="1" x14ac:dyDescent="0.3">
      <c r="D10" s="218"/>
      <c r="E10" s="218"/>
      <c r="F10" s="218"/>
      <c r="G10" s="218"/>
      <c r="H10" s="218"/>
      <c r="I10" s="218"/>
      <c r="J10" s="218"/>
      <c r="K10" s="218"/>
      <c r="L10" s="218"/>
      <c r="M10" s="218"/>
      <c r="N10" s="218"/>
      <c r="O10" s="218"/>
      <c r="P10" s="218"/>
      <c r="Q10" s="218"/>
      <c r="R10" s="218"/>
      <c r="S10" s="218"/>
      <c r="T10" s="218"/>
      <c r="U10" s="218"/>
      <c r="V10" s="218"/>
      <c r="W10" s="244"/>
    </row>
    <row r="11" spans="2:38" ht="18.75" customHeight="1" x14ac:dyDescent="0.3">
      <c r="E11" s="47"/>
      <c r="Q11" s="544" t="s">
        <v>413</v>
      </c>
      <c r="R11" s="545"/>
      <c r="S11" s="545"/>
      <c r="T11" s="545"/>
      <c r="U11" s="545"/>
      <c r="V11" s="546"/>
      <c r="W11" s="244"/>
    </row>
    <row r="12" spans="2:38" ht="45" customHeight="1" x14ac:dyDescent="0.3">
      <c r="B12" s="537" t="s">
        <v>313</v>
      </c>
      <c r="C12" s="537"/>
      <c r="D12" s="538" t="s">
        <v>482</v>
      </c>
      <c r="E12" s="538"/>
      <c r="F12" s="538"/>
      <c r="G12" s="538"/>
      <c r="H12" s="538"/>
      <c r="I12" s="539" t="s">
        <v>10</v>
      </c>
      <c r="J12" s="540"/>
      <c r="K12" s="538" t="s">
        <v>280</v>
      </c>
      <c r="L12" s="538"/>
      <c r="M12" s="278" t="s">
        <v>318</v>
      </c>
      <c r="N12" s="497" t="s">
        <v>281</v>
      </c>
      <c r="O12" s="537"/>
      <c r="P12" s="86" t="s">
        <v>283</v>
      </c>
      <c r="Q12" s="87" t="s">
        <v>322</v>
      </c>
      <c r="R12" s="86" t="s">
        <v>1551</v>
      </c>
      <c r="S12" s="86" t="s">
        <v>314</v>
      </c>
      <c r="T12" s="86" t="s">
        <v>319</v>
      </c>
      <c r="U12" s="496" t="s">
        <v>324</v>
      </c>
      <c r="V12" s="497"/>
      <c r="W12" s="244"/>
      <c r="AB12" s="88" t="s">
        <v>437</v>
      </c>
      <c r="AC12" s="88" t="s">
        <v>438</v>
      </c>
      <c r="AD12" s="88" t="s">
        <v>495</v>
      </c>
      <c r="AE12" s="88" t="s">
        <v>496</v>
      </c>
      <c r="AF12" s="88" t="s">
        <v>497</v>
      </c>
      <c r="AG12" s="88" t="s">
        <v>436</v>
      </c>
      <c r="AH12" s="88" t="s">
        <v>442</v>
      </c>
      <c r="AI12" s="88" t="s">
        <v>441</v>
      </c>
      <c r="AK12" s="15" t="s">
        <v>1557</v>
      </c>
    </row>
    <row r="13" spans="2:38" ht="24.9" customHeight="1" thickBot="1" x14ac:dyDescent="0.35">
      <c r="B13" s="505" t="s">
        <v>410</v>
      </c>
      <c r="C13" s="505"/>
      <c r="D13" s="506" t="str">
        <f>IF(ODM!D16="","",ODM!D16)</f>
        <v>FRANCE MÉTROPOLITAINE</v>
      </c>
      <c r="E13" s="507"/>
      <c r="F13" s="507"/>
      <c r="G13" s="507"/>
      <c r="H13" s="507"/>
      <c r="I13" s="508" t="str">
        <f>IF(ODM!H16="","",ODM!H16)</f>
        <v>Montpellier</v>
      </c>
      <c r="J13" s="509"/>
      <c r="K13" s="510"/>
      <c r="L13" s="510"/>
      <c r="M13" s="89"/>
      <c r="N13" s="511">
        <f>IF(ODM!N16="","",ODM!N16)</f>
        <v>45345</v>
      </c>
      <c r="O13" s="512"/>
      <c r="P13" s="253">
        <v>0.70138888888888884</v>
      </c>
      <c r="Q13" s="198"/>
      <c r="R13" s="90"/>
      <c r="S13" s="91"/>
      <c r="T13" s="92"/>
      <c r="U13" s="513"/>
      <c r="V13" s="514"/>
      <c r="W13" s="244"/>
      <c r="AB13" s="3"/>
      <c r="AC13" s="93">
        <f>IF(N13="","",N13+P13)</f>
        <v>45345.701388888891</v>
      </c>
      <c r="AD13" s="3"/>
      <c r="AE13" s="3"/>
      <c r="AF13" s="3"/>
      <c r="AG13" s="3"/>
      <c r="AH13" s="3"/>
      <c r="AI13" s="3"/>
    </row>
    <row r="14" spans="2:38" ht="24.9" customHeight="1" thickBot="1" x14ac:dyDescent="0.35">
      <c r="B14" s="505" t="s">
        <v>499</v>
      </c>
      <c r="C14" s="505"/>
      <c r="D14" s="515" t="str">
        <f>IF(ODM!D17="","",ODM!D17)</f>
        <v>FRANCE MÉTROPOLITAINE</v>
      </c>
      <c r="E14" s="516"/>
      <c r="F14" s="516"/>
      <c r="G14" s="516"/>
      <c r="H14" s="516"/>
      <c r="I14" s="500" t="str">
        <f>IF(ODM!H17="","",ODM!H17)</f>
        <v>Paris</v>
      </c>
      <c r="J14" s="501"/>
      <c r="K14" s="502">
        <f>IF(ODM!L17="","",ODM!L17)</f>
        <v>45345</v>
      </c>
      <c r="L14" s="502"/>
      <c r="M14" s="249">
        <v>0.84583333333333333</v>
      </c>
      <c r="N14" s="503">
        <f>IF(ODM!N17="","",ODM!N17)</f>
        <v>45348</v>
      </c>
      <c r="O14" s="503"/>
      <c r="P14" s="254">
        <v>0.59861111111111109</v>
      </c>
      <c r="Q14" s="143">
        <f>IF(K14="",0,IF(AND($E$22="",$H$22="",$K$22="",$N$22=""),0,IF(AND($E$22&gt;=$N$13,$E$22&lt;$N$14),IF($H$22&lt;=$N$14,'autres ldv'!$D$2,'autres ldv'!$D$2-$H$22+$N$14))+IF(AND($E$22=$H$22,$E$22=$N$14),1)+IF(AND($K$22&gt;=$N$13,$K$22&lt;$N$14),IF($N$22&lt;=$N$14,'autres ldv'!$D$3,'autres ldv'!$D$3-$N$22+$N$14))+IF(AND($K$22=$N$22,$K$22=$N$14,$N$14&lt;&gt;""),1)))</f>
        <v>2</v>
      </c>
      <c r="R14" s="143">
        <f>IF(AD14="","",IF(AI14="",AF14-Q14,AF14+AI14-Q14))</f>
        <v>1</v>
      </c>
      <c r="S14" s="204">
        <f>IF(D14="","",IF(OR($F$7="",$Q$7=""),"",IF($F$7&lt;&gt;$Q$7,0,IF($D14=$F$7,0,IF(VLOOKUP($AB$5,'autres ldv'!$I$48:$K$59,3,FALSE)="Non",0,VLOOKUP($D14,Pays!$A$1:$M$261,VLOOKUP($Q$7,Pays!$A$1:$N$6,14,FALSE),FALSE))))))</f>
        <v>0</v>
      </c>
      <c r="T14" s="275">
        <f>IF(OR(D14=$F$7,AND($F$7&lt;&gt;$Q$7,D14="France métropolitaine")),0,R14)</f>
        <v>0</v>
      </c>
      <c r="U14" s="504">
        <f>IF(S14="","",IF($AB$5="ALLR",IF($F$7="France métropolitaine",'autres ldv'!$B$45*S14*T14/30,'autres ldv'!$B$46*S14*T14/30),S14*T14*'autres ldv'!$B$43*'autres ldv'!$B$44/30))</f>
        <v>0</v>
      </c>
      <c r="V14" s="504"/>
      <c r="W14" s="244"/>
      <c r="X14" s="94"/>
      <c r="Y14" s="212" t="str">
        <f>IF(ISNA(INDEX(Pays!A$2:O$260,MATCH(D14,Pays!A$2:A$260,0),15)),"",INDEX(Pays!A$2:O$260,MATCH(D14,Pays!A$2:A$260,0),15))</f>
        <v>FR</v>
      </c>
      <c r="AB14" s="95">
        <f>IF(K14="","",K14+M14)</f>
        <v>45345.845833333333</v>
      </c>
      <c r="AC14" s="95">
        <f t="shared" ref="AC14:AC19" si="0">IF(N14="","",N14+P14)</f>
        <v>45348.598611111112</v>
      </c>
      <c r="AD14" s="96">
        <f>IF(K14="","",IF(N14="","",IF(K15="",INT(AB$20-AC13),INT(AC14-AC13))))</f>
        <v>2</v>
      </c>
      <c r="AE14" s="96">
        <f>IF(K14="","",IF(N14="","",IF(K15="",MOD(AB$20-AC13,1)*24,MOD(AC14-AC13,1)*24)))</f>
        <v>21.533333333325572</v>
      </c>
      <c r="AF14" s="96">
        <f>IF(AD14="","",IF(AE14&gt;=12,AD14+1,AD14))</f>
        <v>3</v>
      </c>
      <c r="AG14" s="96" t="str">
        <f>IF($AE14="","",IF($AF$21=0,"",IF($AF$21&gt;0,IF(AE14&lt;12,AE14,""),IF(AE14&gt;=12,AE14,""))))</f>
        <v/>
      </c>
      <c r="AH14" s="96" t="str">
        <f>IF(AG14="","",IF(AG14=$AG$21,ROW(AH14)-15,""))</f>
        <v/>
      </c>
      <c r="AI14" s="96" t="str">
        <f>IF(AH14="","",IF(AH14=$AH$21,$AF$21,""))</f>
        <v/>
      </c>
      <c r="AK14" s="27">
        <f>R14</f>
        <v>1</v>
      </c>
      <c r="AL14" s="7" t="str">
        <f>D14</f>
        <v>FRANCE MÉTROPOLITAINE</v>
      </c>
    </row>
    <row r="15" spans="2:38" ht="24.9" customHeight="1" thickBot="1" x14ac:dyDescent="0.35">
      <c r="B15" s="505" t="s">
        <v>500</v>
      </c>
      <c r="C15" s="505"/>
      <c r="D15" s="515" t="str">
        <f>IF(ODM!D18="","",ODM!D18)</f>
        <v>PAYS-BAS</v>
      </c>
      <c r="E15" s="516"/>
      <c r="F15" s="516"/>
      <c r="G15" s="516"/>
      <c r="H15" s="516"/>
      <c r="I15" s="500" t="str">
        <f>IF(ODM!H18="","",ODM!H18)</f>
        <v>Wageningen</v>
      </c>
      <c r="J15" s="501"/>
      <c r="K15" s="503">
        <f>IF(ODM!L18="","",ODM!L18)</f>
        <v>45348</v>
      </c>
      <c r="L15" s="503"/>
      <c r="M15" s="250">
        <v>0.80486111111111114</v>
      </c>
      <c r="N15" s="503">
        <f>IF(ODM!N18="","",ODM!N18)</f>
        <v>45351</v>
      </c>
      <c r="O15" s="503"/>
      <c r="P15" s="255">
        <v>0.625</v>
      </c>
      <c r="Q15" s="144">
        <f>IF(K15="",0,IF(AND($E$22="",$H$22="",$K$22="",$N$22=""),0,IF(AND($E$22&gt;=$K15,$E$22&lt;$N15),IF($H$22&lt;=$N15,'autres ldv'!$D$2,'autres ldv'!$D$2-$H$22+$N15))+IF(AND($K$22&gt;=$K15,$K$22&lt;$N15),IF($N$22&lt;=$N15,'autres ldv'!$D$3,'autres ldv'!$D$3-$N$22+$N15))+IF(AND($E$22&gt;=$K14,$E$22&lt;$N14,$H$22&gt;N14),'autres ldv'!$D$2-NDF!Q14,0)+IF(AND($K$22&gt;=$K14,$K$22&lt;$N14,$N$22&gt;N14),'autres ldv'!$D$3-NDF!Q14,0)+IF(AND($E$22=$H$22,$E$22=$N15,$N15&lt;&gt;""),1,0)+IF(AND($K$22=$N$22,$N$22=$N15,$N15&lt;&gt;""),1,0)))</f>
        <v>0</v>
      </c>
      <c r="R15" s="144">
        <f t="shared" ref="R15:R19" si="1">IF(AD15="","",IF(AI15="",AF15-Q15,AF15+AI15-Q15))</f>
        <v>3</v>
      </c>
      <c r="S15" s="205">
        <f>IF(D15="","",IF(OR($F$7="",$Q$7=""),"",IF($F$7&lt;&gt;$Q$7,0,IF($D15=$F$7,0,IF(VLOOKUP($AB$5,'autres ldv'!$I$48:$K$59,3,FALSE)="Non",0,VLOOKUP($D15,Pays!$A$1:$M$261,VLOOKUP($Q$7,Pays!$A$1:$N$6,14,FALSE),FALSE))))))</f>
        <v>0</v>
      </c>
      <c r="T15" s="276">
        <f t="shared" ref="T15:T19" si="2">IF(OR(D15=$F$7,AND($F$7&lt;&gt;$Q$7,D15="France métropolitaine")),0,R15)</f>
        <v>3</v>
      </c>
      <c r="U15" s="551">
        <f>IF(S15="","",IF($AB$5="ALLR",IF($F$7="France métropolitaine",'autres ldv'!$B$45*S15*T15/30,'autres ldv'!$B$46*S15*T15/30),S15*T15*'autres ldv'!$B$43*'autres ldv'!$B$44/30))</f>
        <v>0</v>
      </c>
      <c r="V15" s="552"/>
      <c r="W15" s="244"/>
      <c r="X15" s="94"/>
      <c r="Y15" s="212" t="str">
        <f>IF(ISNA(INDEX(Pays!A$2:O$260,MATCH(D15,Pays!A$2:A$260,0),15)),"",INDEX(Pays!A$2:O$260,MATCH(D15,Pays!A$2:A$260,0),15))</f>
        <v>NL</v>
      </c>
      <c r="AB15" s="95">
        <f t="shared" ref="AB15:AB20" si="3">IF(K15="","",K15+M15)</f>
        <v>45348.804861111108</v>
      </c>
      <c r="AC15" s="95">
        <f t="shared" si="0"/>
        <v>45351.625</v>
      </c>
      <c r="AD15" s="96">
        <f t="shared" ref="AD15:AD18" si="4">IF(K15="","",IF(N15="","",IF(K16="",INT(AB$20-AC14),INT(AC15-AC14))))</f>
        <v>3</v>
      </c>
      <c r="AE15" s="96">
        <f t="shared" ref="AE15:AE19" si="5">IF(K15="","",IF(N15="","",IF(K16="",MOD(AB$20-AC14,1)*24,MOD(AC15-AC14,1)*24)))</f>
        <v>6.3499999999185093</v>
      </c>
      <c r="AF15" s="96">
        <f t="shared" ref="AF15:AF19" si="6">IF(AD15="","",IF(AE15&gt;=12,AD15+1,AD15))</f>
        <v>3</v>
      </c>
      <c r="AG15" s="96" t="str">
        <f t="shared" ref="AG15:AG19" si="7">IF($AE15="","",IF($AF$21=0,"",IF($AF$21&gt;0,IF(AE15&lt;12,AE15,""),IF(AE15&gt;=12,AE15,""))))</f>
        <v/>
      </c>
      <c r="AH15" s="96" t="str">
        <f t="shared" ref="AH15:AH19" si="8">IF(AG15="","",IF(AG15=$AG$21,ROW(AH15)-15,""))</f>
        <v/>
      </c>
      <c r="AI15" s="96" t="str">
        <f t="shared" ref="AI15:AI19" si="9">IF(AH15="","",IF(AH15=$AH$21,$AF$21,""))</f>
        <v/>
      </c>
      <c r="AK15" s="27">
        <f t="shared" ref="AK15:AK19" si="10">R15</f>
        <v>3</v>
      </c>
      <c r="AL15" s="7" t="str">
        <f t="shared" ref="AL15:AL19" si="11">D15</f>
        <v>PAYS-BAS</v>
      </c>
    </row>
    <row r="16" spans="2:38" ht="24.9" customHeight="1" thickBot="1" x14ac:dyDescent="0.35">
      <c r="B16" s="505" t="s">
        <v>501</v>
      </c>
      <c r="C16" s="505"/>
      <c r="D16" s="515" t="str">
        <f>IF(ODM!D19="","",ODM!D19)</f>
        <v/>
      </c>
      <c r="E16" s="516"/>
      <c r="F16" s="516"/>
      <c r="G16" s="516"/>
      <c r="H16" s="516"/>
      <c r="I16" s="517" t="str">
        <f>IF(ODM!H19="","",ODM!H19)</f>
        <v/>
      </c>
      <c r="J16" s="517"/>
      <c r="K16" s="503" t="str">
        <f>IF(ODM!L19="","",ODM!L19)</f>
        <v/>
      </c>
      <c r="L16" s="503"/>
      <c r="M16" s="250"/>
      <c r="N16" s="503" t="str">
        <f>IF(ODM!N19="","",ODM!N19)</f>
        <v/>
      </c>
      <c r="O16" s="503"/>
      <c r="P16" s="255"/>
      <c r="Q16" s="144">
        <f>IF(K16="",0,IF(AND($E$22="",$H$22="",$K$22="",$N$22=""),0,IF(AND($E$22&gt;=$K16,$E$22&lt;$N16),IF($H$22&lt;=$N16,'autres ldv'!$D$2,'autres ldv'!$D$2-$H$22+$N16))+IF(AND($K$22&gt;=$K16,$K$22&lt;$N16),IF($N$22&lt;=$N16,'autres ldv'!$D$3,'autres ldv'!$D$3-$N$22+$N16))+IF(AND($E$22&gt;=$K15,$E$22&lt;$N15,$H$22&gt;N15),'autres ldv'!$D$2-NDF!Q15,0)+IF(AND($K$22&gt;=$K15,$K$22&lt;$N15,$N$22&gt;N15),'autres ldv'!$D$3-NDF!Q15,0)+IF(AND($E$22=$H$22,$E$22=$N16,$N16&lt;&gt;""),1,0)+IF(AND($K$22=$N$22,$N$22=$N16,$N16&lt;&gt;""),1,0)))</f>
        <v>0</v>
      </c>
      <c r="R16" s="144" t="str">
        <f t="shared" si="1"/>
        <v/>
      </c>
      <c r="S16" s="205" t="str">
        <f>IF(D16="","",IF(OR($F$7="",$Q$7=""),"",IF($F$7&lt;&gt;$Q$7,0,IF($D16=$F$7,0,IF(VLOOKUP($AB$5,'autres ldv'!$I$48:$K$59,3,FALSE)="Non",0,VLOOKUP($D16,Pays!$A$1:$M$261,VLOOKUP($Q$7,Pays!$A$1:$N$6,14,FALSE),FALSE))))))</f>
        <v/>
      </c>
      <c r="T16" s="276" t="str">
        <f t="shared" si="2"/>
        <v/>
      </c>
      <c r="U16" s="551" t="str">
        <f>IF(S16="","",IF($AB$5="ALLR",IF($F$7="France métropolitaine",'autres ldv'!$B$45*S16*T16/30,'autres ldv'!$B$46*S16*T16/30),S16*T16*'autres ldv'!$B$43*'autres ldv'!$B$44/30))</f>
        <v/>
      </c>
      <c r="V16" s="552"/>
      <c r="W16" s="244"/>
      <c r="X16" s="94"/>
      <c r="Y16" s="212" t="str">
        <f>IF(ISNA(INDEX(Pays!A$2:O$260,MATCH(D16,Pays!A$2:A$260,0),15)),"",INDEX(Pays!A$2:O$260,MATCH(D16,Pays!A$2:A$260,0),15))</f>
        <v/>
      </c>
      <c r="AB16" s="95" t="str">
        <f t="shared" si="3"/>
        <v/>
      </c>
      <c r="AC16" s="95" t="str">
        <f t="shared" si="0"/>
        <v/>
      </c>
      <c r="AD16" s="96" t="str">
        <f t="shared" si="4"/>
        <v/>
      </c>
      <c r="AE16" s="96" t="str">
        <f t="shared" si="5"/>
        <v/>
      </c>
      <c r="AF16" s="96" t="str">
        <f t="shared" si="6"/>
        <v/>
      </c>
      <c r="AG16" s="96" t="str">
        <f t="shared" si="7"/>
        <v/>
      </c>
      <c r="AH16" s="96" t="str">
        <f t="shared" si="8"/>
        <v/>
      </c>
      <c r="AI16" s="96" t="str">
        <f t="shared" si="9"/>
        <v/>
      </c>
      <c r="AK16" s="27" t="str">
        <f t="shared" si="10"/>
        <v/>
      </c>
      <c r="AL16" s="7" t="str">
        <f t="shared" si="11"/>
        <v/>
      </c>
    </row>
    <row r="17" spans="2:38" ht="24.9" customHeight="1" thickBot="1" x14ac:dyDescent="0.35">
      <c r="B17" s="505" t="s">
        <v>502</v>
      </c>
      <c r="C17" s="505"/>
      <c r="D17" s="515" t="str">
        <f>IF(ODM!D20="","",ODM!D20)</f>
        <v/>
      </c>
      <c r="E17" s="516"/>
      <c r="F17" s="516"/>
      <c r="G17" s="516"/>
      <c r="H17" s="516"/>
      <c r="I17" s="517" t="str">
        <f>IF(ODM!H20="","",ODM!H20)</f>
        <v/>
      </c>
      <c r="J17" s="517"/>
      <c r="K17" s="503" t="str">
        <f>IF(ODM!L20="","",ODM!L20)</f>
        <v/>
      </c>
      <c r="L17" s="503"/>
      <c r="M17" s="250"/>
      <c r="N17" s="503" t="str">
        <f>IF(ODM!N20="","",ODM!N20)</f>
        <v/>
      </c>
      <c r="O17" s="503"/>
      <c r="P17" s="255"/>
      <c r="Q17" s="144">
        <f>IF(K17="",0,IF(AND($E$22="",$H$22="",$K$22="",$N$22=""),0,IF(AND($E$22&gt;=$K17,$E$22&lt;$N17),IF($H$22&lt;=$N17,'autres ldv'!$D$2,'autres ldv'!$D$2-$H$22+$N17))+IF(AND($K$22&gt;=$K17,$K$22&lt;$N17),IF($N$22&lt;=$N17,'autres ldv'!$D$3,'autres ldv'!$D$3-$N$22+$N17))+IF(AND($E$22&gt;=$K16,$E$22&lt;$N16,$H$22&gt;N16),'autres ldv'!$D$2-NDF!Q16,0)+IF(AND($K$22&gt;=$K16,$K$22&lt;$N16,$N$22&gt;N16),'autres ldv'!$D$3-NDF!Q16,0)+IF(AND($E$22=$H$22,$E$22=$N17,$N17&lt;&gt;""),1,0)+IF(AND($K$22=$N$22,$N$22=$N17,$N17&lt;&gt;""),1,0)))</f>
        <v>0</v>
      </c>
      <c r="R17" s="144" t="str">
        <f t="shared" si="1"/>
        <v/>
      </c>
      <c r="S17" s="205" t="str">
        <f>IF(D17="","",IF(OR($F$7="",$Q$7=""),"",IF($F$7&lt;&gt;$Q$7,0,IF($D17=$F$7,0,IF(VLOOKUP($AB$5,'autres ldv'!$I$48:$K$59,3,FALSE)="Non",0,VLOOKUP($D17,Pays!$A$1:$M$261,VLOOKUP($Q$7,Pays!$A$1:$N$6,14,FALSE),FALSE))))))</f>
        <v/>
      </c>
      <c r="T17" s="276" t="str">
        <f t="shared" si="2"/>
        <v/>
      </c>
      <c r="U17" s="551" t="str">
        <f>IF(S17="","",IF($AB$5="ALLR",IF($F$7="France métropolitaine",'autres ldv'!$B$45*S17*T17/30,'autres ldv'!$B$46*S17*T17/30),S17*T17*'autres ldv'!$B$43*'autres ldv'!$B$44/30))</f>
        <v/>
      </c>
      <c r="V17" s="552"/>
      <c r="W17" s="244"/>
      <c r="X17" s="94"/>
      <c r="Y17" s="212" t="str">
        <f>IF(ISNA(INDEX(Pays!A$2:O$260,MATCH(D17,Pays!A$2:A$260,0),15)),"",INDEX(Pays!A$2:O$260,MATCH(D17,Pays!A$2:A$260,0),15))</f>
        <v/>
      </c>
      <c r="AB17" s="95" t="str">
        <f t="shared" si="3"/>
        <v/>
      </c>
      <c r="AC17" s="95" t="str">
        <f t="shared" si="0"/>
        <v/>
      </c>
      <c r="AD17" s="96" t="str">
        <f t="shared" si="4"/>
        <v/>
      </c>
      <c r="AE17" s="96" t="str">
        <f t="shared" si="5"/>
        <v/>
      </c>
      <c r="AF17" s="96" t="str">
        <f t="shared" si="6"/>
        <v/>
      </c>
      <c r="AG17" s="96" t="str">
        <f t="shared" si="7"/>
        <v/>
      </c>
      <c r="AH17" s="96" t="str">
        <f t="shared" si="8"/>
        <v/>
      </c>
      <c r="AI17" s="96" t="str">
        <f t="shared" si="9"/>
        <v/>
      </c>
      <c r="AK17" s="27" t="str">
        <f t="shared" si="10"/>
        <v/>
      </c>
      <c r="AL17" s="7" t="str">
        <f t="shared" si="11"/>
        <v/>
      </c>
    </row>
    <row r="18" spans="2:38" ht="24.9" customHeight="1" thickBot="1" x14ac:dyDescent="0.35">
      <c r="B18" s="505" t="s">
        <v>503</v>
      </c>
      <c r="C18" s="505"/>
      <c r="D18" s="515" t="str">
        <f>IF(ODM!D21="","",ODM!D21)</f>
        <v/>
      </c>
      <c r="E18" s="516"/>
      <c r="F18" s="516"/>
      <c r="G18" s="516"/>
      <c r="H18" s="516"/>
      <c r="I18" s="517" t="str">
        <f>IF(ODM!H21="","",ODM!H21)</f>
        <v/>
      </c>
      <c r="J18" s="517"/>
      <c r="K18" s="503" t="str">
        <f>IF(ODM!L21="","",ODM!L21)</f>
        <v/>
      </c>
      <c r="L18" s="503"/>
      <c r="M18" s="250"/>
      <c r="N18" s="503" t="str">
        <f>IF(ODM!N21="","",ODM!N21)</f>
        <v/>
      </c>
      <c r="O18" s="503"/>
      <c r="P18" s="255"/>
      <c r="Q18" s="144">
        <f>IF(K18="",0,IF(AND($E$22="",$H$22="",$K$22="",$N$22=""),0,IF(AND($E$22&gt;=$K18,$E$22&lt;$N18),IF($H$22&lt;=$N18,'autres ldv'!$D$2,'autres ldv'!$D$2-$H$22+$N18))+IF(AND($K$22&gt;=$K18,$K$22&lt;$N18),IF($N$22&lt;=$N18,'autres ldv'!$D$3,'autres ldv'!$D$3-$N$22+$N18))+IF(AND($E$22&gt;=$K17,$E$22&lt;$N17,$H$22&gt;N17),'autres ldv'!$D$2-NDF!Q17,0)+IF(AND($K$22&gt;=$K17,$K$22&lt;$N17,$N$22&gt;N17),'autres ldv'!$D$3-NDF!Q17,0)+IF(AND($E$22=$H$22,$E$22=$N18,$N18&lt;&gt;""),1,0)+IF(AND($K$22=$N$22,$N$22=$N18,$N18&lt;&gt;""),1,0)))</f>
        <v>0</v>
      </c>
      <c r="R18" s="144" t="str">
        <f>IF(AD18="","",IF(AI18="",AF18-Q18,AF18+AI18-Q18))</f>
        <v/>
      </c>
      <c r="S18" s="205" t="str">
        <f>IF(D18="","",IF(OR($F$7="",$Q$7=""),"",IF($F$7&lt;&gt;$Q$7,0,IF($D18=$F$7,0,IF(VLOOKUP($AB$5,'autres ldv'!$I$48:$K$59,3,FALSE)="Non",0,VLOOKUP($D18,Pays!$A$1:$M$261,VLOOKUP($Q$7,Pays!$A$1:$N$6,14,FALSE),FALSE))))))</f>
        <v/>
      </c>
      <c r="T18" s="276" t="str">
        <f t="shared" si="2"/>
        <v/>
      </c>
      <c r="U18" s="551" t="str">
        <f>IF(S18="","",IF($AB$5="ALLR",IF($F$7="France métropolitaine",'autres ldv'!$B$45*S18*T18/30,'autres ldv'!$B$46*S18*T18/30),S18*T18*'autres ldv'!$B$43*'autres ldv'!$B$44/30))</f>
        <v/>
      </c>
      <c r="V18" s="552"/>
      <c r="W18" s="244"/>
      <c r="X18" s="94"/>
      <c r="Y18" s="212" t="str">
        <f>IF(ISNA(INDEX(Pays!A$2:O$260,MATCH(D18,Pays!A$2:A$260,0),15)),"",INDEX(Pays!A$2:O$260,MATCH(D18,Pays!A$2:A$260,0),15))</f>
        <v/>
      </c>
      <c r="AB18" s="95" t="str">
        <f t="shared" si="3"/>
        <v/>
      </c>
      <c r="AC18" s="95" t="str">
        <f t="shared" si="0"/>
        <v/>
      </c>
      <c r="AD18" s="96" t="str">
        <f t="shared" si="4"/>
        <v/>
      </c>
      <c r="AE18" s="96" t="str">
        <f t="shared" si="5"/>
        <v/>
      </c>
      <c r="AF18" s="96" t="str">
        <f t="shared" si="6"/>
        <v/>
      </c>
      <c r="AG18" s="96" t="str">
        <f t="shared" si="7"/>
        <v/>
      </c>
      <c r="AH18" s="96" t="str">
        <f t="shared" si="8"/>
        <v/>
      </c>
      <c r="AI18" s="96" t="str">
        <f t="shared" si="9"/>
        <v/>
      </c>
      <c r="AK18" s="27" t="str">
        <f t="shared" si="10"/>
        <v/>
      </c>
      <c r="AL18" s="7" t="str">
        <f t="shared" si="11"/>
        <v/>
      </c>
    </row>
    <row r="19" spans="2:38" ht="24.9" customHeight="1" thickBot="1" x14ac:dyDescent="0.35">
      <c r="B19" s="505" t="s">
        <v>504</v>
      </c>
      <c r="C19" s="505"/>
      <c r="D19" s="515" t="str">
        <f>IF(ODM!D22="","",ODM!D22)</f>
        <v/>
      </c>
      <c r="E19" s="516"/>
      <c r="F19" s="516"/>
      <c r="G19" s="516"/>
      <c r="H19" s="516"/>
      <c r="I19" s="555" t="str">
        <f>IF(ODM!H22="","",ODM!H22)</f>
        <v/>
      </c>
      <c r="J19" s="555"/>
      <c r="K19" s="556" t="str">
        <f>IF(ODM!L22="","",ODM!L22)</f>
        <v/>
      </c>
      <c r="L19" s="556"/>
      <c r="M19" s="251"/>
      <c r="N19" s="560" t="str">
        <f>IF(ODM!N22="","",ODM!N22)</f>
        <v/>
      </c>
      <c r="O19" s="560"/>
      <c r="P19" s="256"/>
      <c r="Q19" s="144">
        <f>IF(K19="",0,IF(AND($E$22="",$H$22="",$K$22="",$N$22=""),0,IF(AND($E$22&gt;=$K19,$E$22&lt;$K$20),IF($H$22&lt;=$K$20,'autres ldv'!$D$2,'autres ldv'!$D$2-$H$22+$K$20))+IF(AND($K$22&gt;=$K19,$K$22&lt;$K$20),IF($N$22&lt;=$K$20,'autres ldv'!$D$3,'autres ldv'!$D$3-$N$22+$K$20))+IF(AND($E$22&gt;=$K18,$E$22&lt;$N18,$H$22&gt;N18),'autres ldv'!$D$2-NDF!Q18,0)+IF(AND($K$22&gt;=$K18,$K$22&lt;$N18,$N$22&gt;N18),'autres ldv'!$D$3-NDF!Q18,0)+IF(AND($E$22=$H$22,$E$22=$K$20,$E$22&lt;&gt;""),1)+IF(AND($K$22=$N$22,$K$22=$K$20,$K$22&lt;&gt;""),1)))</f>
        <v>0</v>
      </c>
      <c r="R19" s="145" t="str">
        <f t="shared" si="1"/>
        <v/>
      </c>
      <c r="S19" s="206" t="str">
        <f>IF(D19="","",IF(OR($F$7="",$Q$7=""),"",IF($F$7&lt;&gt;$Q$7,0,IF($D19=$F$7,0,IF(VLOOKUP($AB$5,'autres ldv'!$I$48:$K$59,3,FALSE)="Non",0,VLOOKUP($D19,Pays!$A$1:$M$261,VLOOKUP($Q$7,Pays!$A$1:$N$6,14,FALSE),FALSE))))))</f>
        <v/>
      </c>
      <c r="T19" s="277" t="str">
        <f t="shared" si="2"/>
        <v/>
      </c>
      <c r="U19" s="561" t="str">
        <f>IF(S19="","",IF($AB$5="ALLR",IF($F$7="France métropolitaine",'autres ldv'!$B$45*S19*T19/30,'autres ldv'!$B$46*S19*T19/30),S19*T19*'autres ldv'!$B$43*'autres ldv'!$B$44/30))</f>
        <v/>
      </c>
      <c r="V19" s="562"/>
      <c r="W19" s="244"/>
      <c r="X19" s="94"/>
      <c r="Y19" s="212" t="str">
        <f>IF(ISNA(INDEX(Pays!A$2:O$260,MATCH(D19,Pays!A$2:A$260,0),15)),"",INDEX(Pays!A$2:O$260,MATCH(D19,Pays!A$2:A$260,0),15))</f>
        <v/>
      </c>
      <c r="AB19" s="95" t="str">
        <f t="shared" si="3"/>
        <v/>
      </c>
      <c r="AC19" s="95" t="str">
        <f t="shared" si="0"/>
        <v/>
      </c>
      <c r="AD19" s="96" t="str">
        <f>IF(K19="","",IF(N19="","",INT(AB$20-AC18)))</f>
        <v/>
      </c>
      <c r="AE19" s="96" t="str">
        <f t="shared" si="5"/>
        <v/>
      </c>
      <c r="AF19" s="96" t="str">
        <f t="shared" si="6"/>
        <v/>
      </c>
      <c r="AG19" s="96" t="str">
        <f t="shared" si="7"/>
        <v/>
      </c>
      <c r="AH19" s="96" t="str">
        <f t="shared" si="8"/>
        <v/>
      </c>
      <c r="AI19" s="96" t="str">
        <f t="shared" si="9"/>
        <v/>
      </c>
      <c r="AK19" s="27" t="str">
        <f t="shared" si="10"/>
        <v/>
      </c>
      <c r="AL19" s="7" t="str">
        <f t="shared" si="11"/>
        <v/>
      </c>
    </row>
    <row r="20" spans="2:38" ht="24.9" customHeight="1" x14ac:dyDescent="0.3">
      <c r="B20" s="505" t="s">
        <v>9</v>
      </c>
      <c r="C20" s="505"/>
      <c r="D20" s="553" t="str">
        <f>IF(ODM!D23="","",ODM!D23)</f>
        <v>FRANCE MÉTROPOLITAINE</v>
      </c>
      <c r="E20" s="554"/>
      <c r="F20" s="554"/>
      <c r="G20" s="554"/>
      <c r="H20" s="554"/>
      <c r="I20" s="555" t="str">
        <f>IF(ODM!H23="","",ODM!H23)</f>
        <v>Paris</v>
      </c>
      <c r="J20" s="555"/>
      <c r="K20" s="556">
        <f>IF(ODM!L23="","",ODM!L23)</f>
        <v>45351</v>
      </c>
      <c r="L20" s="556"/>
      <c r="M20" s="252">
        <v>0.86319444444444438</v>
      </c>
      <c r="N20" s="557"/>
      <c r="O20" s="557"/>
      <c r="P20" s="210"/>
      <c r="Q20" s="220">
        <f>SUM(Q14:Q19)</f>
        <v>2</v>
      </c>
      <c r="R20" s="220">
        <f>SUM(R14:R19)</f>
        <v>4</v>
      </c>
      <c r="S20" s="97"/>
      <c r="T20" s="98"/>
      <c r="U20" s="558">
        <f>SUM(U14:V19)</f>
        <v>0</v>
      </c>
      <c r="V20" s="559"/>
      <c r="W20" s="244"/>
      <c r="AB20" s="93">
        <f t="shared" si="3"/>
        <v>45351.863194444442</v>
      </c>
      <c r="AC20" s="3"/>
      <c r="AD20" s="3">
        <f>IF(K20="","",INT(AB$20-AC$13))</f>
        <v>6</v>
      </c>
      <c r="AE20" s="3">
        <f>MOD(AB20-AC13,1)*24</f>
        <v>3.8833333332440816</v>
      </c>
      <c r="AF20" s="3">
        <f>IF(AD20="","",IF(AE20&gt;=12,AD20+1,AD20))</f>
        <v>6</v>
      </c>
      <c r="AG20" s="3"/>
    </row>
    <row r="21" spans="2:38" ht="14.25" customHeight="1" x14ac:dyDescent="0.3">
      <c r="B21" s="124"/>
      <c r="C21" s="124"/>
      <c r="D21" s="203"/>
      <c r="E21" s="203"/>
      <c r="F21" s="203"/>
      <c r="G21" s="203"/>
      <c r="H21" s="203"/>
      <c r="I21" s="125"/>
      <c r="J21" s="125"/>
      <c r="K21" s="126"/>
      <c r="L21" s="126"/>
      <c r="M21" s="127"/>
      <c r="N21" s="107"/>
      <c r="O21" s="107"/>
      <c r="P21" s="99"/>
      <c r="Q21" s="128"/>
      <c r="R21" s="129"/>
      <c r="S21" s="125"/>
      <c r="T21" s="99"/>
      <c r="U21" s="107"/>
      <c r="V21" s="107"/>
      <c r="W21" s="244"/>
      <c r="AB21" s="3"/>
      <c r="AC21" s="3"/>
      <c r="AE21" s="18" t="s">
        <v>440</v>
      </c>
      <c r="AF21" s="18">
        <f>AF20-SUM(AF14:AF19)</f>
        <v>0</v>
      </c>
      <c r="AG21" s="3" t="str">
        <f>IF($AF$21="","",IF($AF$21=0,"",IF($AF$21&gt;0,MAX(AG14:AG19),MIN(AG14:AG19))))</f>
        <v/>
      </c>
      <c r="AH21" s="3" t="str">
        <f>IF($AF$21="","",IF($AF$21=0,"",MIN(AH14:AH19)))</f>
        <v/>
      </c>
    </row>
    <row r="22" spans="2:38" ht="15" customHeight="1" x14ac:dyDescent="0.3">
      <c r="D22" s="79" t="s">
        <v>418</v>
      </c>
      <c r="E22" s="718">
        <f>IF(ODM!D25="","",ODM!D25)</f>
        <v>45346</v>
      </c>
      <c r="F22" s="718"/>
      <c r="G22" s="83" t="s">
        <v>415</v>
      </c>
      <c r="H22" s="718">
        <f>IF(ODM!G25="","",ODM!G25)</f>
        <v>45347</v>
      </c>
      <c r="I22" s="718"/>
      <c r="J22" s="83" t="s">
        <v>416</v>
      </c>
      <c r="K22" s="718" t="str">
        <f>IF(ODM!J25="","",ODM!J25)</f>
        <v/>
      </c>
      <c r="L22" s="718"/>
      <c r="M22" s="83" t="s">
        <v>417</v>
      </c>
      <c r="N22" s="718" t="str">
        <f>IF(ODM!M25="","",ODM!M25)</f>
        <v/>
      </c>
      <c r="O22" s="718"/>
      <c r="P22" s="209" t="str">
        <f>IF(Q22=0,"",'autres ldv'!D2&amp;"+"&amp;'autres ldv'!D3)</f>
        <v>2+0</v>
      </c>
      <c r="Q22" s="42">
        <f>IFERROR('autres ldv'!D2+'autres ldv'!D3,0)</f>
        <v>2</v>
      </c>
      <c r="R22" s="228">
        <f>IF(N13="",0,IF(N13=K20,1,(((K20+M20)-(N13+P13))-Q20)))</f>
        <v>4.1618055555518367</v>
      </c>
      <c r="S22" s="7" t="s">
        <v>1552</v>
      </c>
      <c r="U22" s="101"/>
      <c r="V22" s="102"/>
      <c r="W22" s="166"/>
      <c r="X22" s="94"/>
      <c r="AB22" s="3"/>
      <c r="AC22" s="3"/>
      <c r="AD22" s="3"/>
      <c r="AE22" s="3"/>
      <c r="AF22" s="3"/>
      <c r="AG22" s="18" t="s">
        <v>439</v>
      </c>
      <c r="AH22" s="18" t="s">
        <v>443</v>
      </c>
    </row>
    <row r="23" spans="2:38" ht="7.5" customHeight="1" x14ac:dyDescent="0.3">
      <c r="P23" s="100"/>
      <c r="Q23" s="100"/>
      <c r="R23" s="24"/>
      <c r="T23" s="101"/>
      <c r="U23" s="102"/>
      <c r="V23" s="130"/>
      <c r="W23" s="166"/>
      <c r="X23" s="94"/>
      <c r="AB23" s="3"/>
      <c r="AC23" s="3"/>
      <c r="AD23" s="3"/>
      <c r="AE23" s="3"/>
      <c r="AF23" s="3"/>
      <c r="AG23" s="18"/>
      <c r="AH23" s="18"/>
    </row>
    <row r="24" spans="2:38" ht="15" customHeight="1" x14ac:dyDescent="0.3">
      <c r="B24" s="371" t="s">
        <v>1556</v>
      </c>
      <c r="C24" s="371"/>
      <c r="D24" s="371"/>
      <c r="E24" s="491" t="str">
        <f>IFERROR(VLOOKUP(MAX(AK14:AK19),AK14:AL19,2,FALSE),"")</f>
        <v>PAYS-BAS</v>
      </c>
      <c r="F24" s="491"/>
      <c r="G24" s="491"/>
      <c r="H24" s="491"/>
      <c r="I24" s="491"/>
      <c r="J24" s="491"/>
      <c r="K24" s="491"/>
      <c r="L24" s="491"/>
      <c r="N24" s="222"/>
      <c r="P24" s="223"/>
      <c r="Q24" s="223"/>
      <c r="R24" s="223"/>
      <c r="S24" s="223"/>
      <c r="T24" s="223"/>
      <c r="U24" s="223"/>
      <c r="V24" s="223"/>
      <c r="W24" s="166"/>
      <c r="X24" s="94"/>
      <c r="AB24" s="3"/>
      <c r="AC24" s="3"/>
      <c r="AD24" s="18"/>
      <c r="AE24" s="18"/>
      <c r="AF24" s="18"/>
      <c r="AG24" s="18"/>
      <c r="AH24" s="18"/>
    </row>
    <row r="25" spans="2:38" ht="5.0999999999999996" customHeight="1" x14ac:dyDescent="0.3">
      <c r="D25" s="79"/>
      <c r="E25" s="223"/>
      <c r="F25" s="223"/>
      <c r="G25" s="223"/>
      <c r="H25" s="223"/>
      <c r="I25" s="223"/>
      <c r="J25" s="223"/>
      <c r="K25" s="223"/>
      <c r="L25" s="223"/>
      <c r="M25" s="223"/>
      <c r="N25" s="223"/>
      <c r="O25" s="223"/>
      <c r="P25" s="223"/>
      <c r="Q25" s="223"/>
      <c r="R25" s="223"/>
      <c r="S25" s="223"/>
      <c r="T25" s="223"/>
      <c r="U25" s="223"/>
      <c r="V25" s="223"/>
      <c r="W25" s="166"/>
      <c r="X25" s="94"/>
      <c r="AB25" s="3"/>
      <c r="AC25" s="3"/>
      <c r="AD25" s="18"/>
      <c r="AE25" s="18"/>
      <c r="AF25" s="18"/>
      <c r="AG25" s="18"/>
      <c r="AH25" s="18"/>
    </row>
    <row r="26" spans="2:38" ht="15" customHeight="1" x14ac:dyDescent="0.3">
      <c r="C26" s="79" t="s">
        <v>582</v>
      </c>
      <c r="D26" s="492" t="str">
        <f>IF(ODM!D29="","",ODM!D29)</f>
        <v>A10821-AGAP - PhenoMEn</v>
      </c>
      <c r="E26" s="492"/>
      <c r="F26" s="492"/>
      <c r="G26" s="492"/>
      <c r="H26" s="492"/>
      <c r="I26" s="223"/>
      <c r="J26" s="226" t="s">
        <v>1669</v>
      </c>
      <c r="K26" s="492" t="str">
        <f>IF(ODM!J29="","",ODM!J29)</f>
        <v>C19966L01</v>
      </c>
      <c r="L26" s="492"/>
      <c r="M26" s="492"/>
      <c r="N26" s="492"/>
      <c r="O26" s="492"/>
      <c r="Q26" s="226" t="s">
        <v>916</v>
      </c>
      <c r="R26" s="493" t="str">
        <f>IFERROR(INDEX('Liste Géo'!A2:D260,MATCH(INDEX(Pays!A2:O250,MATCH(E24,Pays!A2:A250,0),15),'Liste Géo'!A2:A260,0),3),"")</f>
        <v>NL-Pays-Bas</v>
      </c>
      <c r="S26" s="493"/>
      <c r="T26" s="493"/>
      <c r="U26" s="493"/>
      <c r="V26" s="493"/>
      <c r="W26" s="166"/>
      <c r="X26" s="94"/>
    </row>
    <row r="27" spans="2:38" ht="5.0999999999999996" customHeight="1" x14ac:dyDescent="0.3">
      <c r="M27" s="7" t="s">
        <v>317</v>
      </c>
      <c r="U27" s="82"/>
      <c r="V27" s="82"/>
      <c r="W27" s="166"/>
    </row>
    <row r="28" spans="2:38" ht="15" customHeight="1" x14ac:dyDescent="0.3">
      <c r="B28" s="262" t="s">
        <v>301</v>
      </c>
      <c r="C28" s="263"/>
      <c r="D28" s="263"/>
      <c r="E28" s="263"/>
      <c r="F28" s="263"/>
      <c r="G28" s="263"/>
      <c r="H28" s="263"/>
      <c r="I28" s="263"/>
      <c r="J28" s="263"/>
      <c r="K28" s="263"/>
      <c r="L28" s="263"/>
      <c r="M28" s="263"/>
      <c r="N28" s="263"/>
      <c r="O28" s="263"/>
      <c r="P28" s="263"/>
      <c r="Q28" s="263"/>
      <c r="R28" s="263"/>
      <c r="S28" s="263"/>
      <c r="T28" s="264" t="s">
        <v>249</v>
      </c>
      <c r="U28" s="575">
        <f>SUM(T30:V34,U38:V71,U75:V76)</f>
        <v>135.57999999999998</v>
      </c>
      <c r="V28" s="576"/>
      <c r="W28" s="245"/>
    </row>
    <row r="29" spans="2:38" ht="15" customHeight="1" x14ac:dyDescent="0.3">
      <c r="B29" s="577" t="s">
        <v>263</v>
      </c>
      <c r="C29" s="578"/>
      <c r="D29" s="578"/>
      <c r="E29" s="578"/>
      <c r="F29" s="578"/>
      <c r="G29" s="578"/>
      <c r="H29" s="578"/>
      <c r="I29" s="578"/>
      <c r="J29" s="578"/>
      <c r="K29" s="578"/>
      <c r="L29" s="578"/>
      <c r="M29" s="578"/>
      <c r="N29" s="579"/>
      <c r="O29" s="87" t="s">
        <v>282</v>
      </c>
      <c r="P29" s="580" t="s">
        <v>315</v>
      </c>
      <c r="Q29" s="580"/>
      <c r="R29" s="580" t="s">
        <v>264</v>
      </c>
      <c r="S29" s="580"/>
      <c r="T29" s="496" t="s">
        <v>315</v>
      </c>
      <c r="U29" s="581"/>
      <c r="V29" s="497"/>
      <c r="W29" s="244"/>
    </row>
    <row r="30" spans="2:38" ht="15" customHeight="1" thickBot="1" x14ac:dyDescent="0.35">
      <c r="B30" s="569" t="s">
        <v>316</v>
      </c>
      <c r="C30" s="570"/>
      <c r="D30" s="570"/>
      <c r="E30" s="570"/>
      <c r="F30" s="570"/>
      <c r="G30" s="570"/>
      <c r="H30" s="570"/>
      <c r="I30" s="584" t="s">
        <v>258</v>
      </c>
      <c r="J30" s="584"/>
      <c r="K30" s="584"/>
      <c r="L30" s="584"/>
      <c r="M30" s="584"/>
      <c r="N30" s="585"/>
      <c r="O30" s="294"/>
      <c r="P30" s="586"/>
      <c r="Q30" s="586"/>
      <c r="R30" s="587"/>
      <c r="S30" s="588"/>
      <c r="T30" s="589" t="str">
        <f>(IF($R30="","",ROUND(IF(($P30/$R30)&gt;'autres ldv'!B28,$R30*'autres ldv'!B28,$P30),2)))</f>
        <v/>
      </c>
      <c r="U30" s="590"/>
      <c r="V30" s="591"/>
      <c r="W30" s="244"/>
      <c r="Y30" s="103"/>
    </row>
    <row r="31" spans="2:38" ht="15" customHeight="1" x14ac:dyDescent="0.3">
      <c r="B31" s="582"/>
      <c r="C31" s="583"/>
      <c r="D31" s="583"/>
      <c r="E31" s="583"/>
      <c r="F31" s="583"/>
      <c r="G31" s="583"/>
      <c r="H31" s="583"/>
      <c r="I31" s="104" t="s">
        <v>259</v>
      </c>
      <c r="J31" s="105"/>
      <c r="K31" s="105"/>
      <c r="L31" s="105"/>
      <c r="M31" s="105"/>
      <c r="N31" s="106"/>
      <c r="O31" s="295"/>
      <c r="P31" s="563"/>
      <c r="Q31" s="563"/>
      <c r="R31" s="564"/>
      <c r="S31" s="565"/>
      <c r="T31" s="566" t="str">
        <f>(IF($R31="","",ROUND(IF(($P31/$R31)&gt;'autres ldv'!B29,$R31*'autres ldv'!B29,$P31),2)))</f>
        <v/>
      </c>
      <c r="U31" s="567"/>
      <c r="V31" s="568"/>
      <c r="W31" s="244"/>
    </row>
    <row r="32" spans="2:38" ht="15" customHeight="1" thickBot="1" x14ac:dyDescent="0.35">
      <c r="B32" s="569" t="s">
        <v>274</v>
      </c>
      <c r="C32" s="570"/>
      <c r="D32" s="570"/>
      <c r="E32" s="570"/>
      <c r="F32" s="570"/>
      <c r="G32" s="570"/>
      <c r="H32" s="570"/>
      <c r="I32" s="99" t="s">
        <v>260</v>
      </c>
      <c r="J32" s="99"/>
      <c r="K32" s="99"/>
      <c r="L32" s="99"/>
      <c r="M32" s="99"/>
      <c r="N32" s="99"/>
      <c r="O32" s="99"/>
      <c r="P32" s="107"/>
      <c r="Q32" s="108"/>
      <c r="R32" s="573"/>
      <c r="S32" s="573"/>
      <c r="T32" s="566" t="str">
        <f>IF($R32="","",ROUND($R32*'autres ldv'!B30,2))</f>
        <v/>
      </c>
      <c r="U32" s="567"/>
      <c r="V32" s="568"/>
      <c r="W32" s="244"/>
    </row>
    <row r="33" spans="2:37" ht="15" customHeight="1" thickBot="1" x14ac:dyDescent="0.35">
      <c r="B33" s="571"/>
      <c r="C33" s="572"/>
      <c r="D33" s="572"/>
      <c r="E33" s="572"/>
      <c r="F33" s="572"/>
      <c r="G33" s="572"/>
      <c r="H33" s="572"/>
      <c r="I33" s="7" t="s">
        <v>259</v>
      </c>
      <c r="P33" s="26"/>
      <c r="Q33" s="109"/>
      <c r="R33" s="574"/>
      <c r="S33" s="574"/>
      <c r="T33" s="566" t="str">
        <f>IF($R33="","",ROUND($R33*'autres ldv'!B31,2))</f>
        <v/>
      </c>
      <c r="U33" s="567"/>
      <c r="V33" s="568"/>
      <c r="W33" s="244"/>
    </row>
    <row r="34" spans="2:37" ht="15" customHeight="1" x14ac:dyDescent="0.3">
      <c r="B34" s="600" t="s">
        <v>275</v>
      </c>
      <c r="C34" s="601"/>
      <c r="D34" s="601"/>
      <c r="E34" s="601"/>
      <c r="F34" s="601"/>
      <c r="G34" s="601"/>
      <c r="H34" s="601"/>
      <c r="I34" s="104" t="s">
        <v>261</v>
      </c>
      <c r="J34" s="104"/>
      <c r="K34" s="104"/>
      <c r="L34" s="104"/>
      <c r="M34" s="104"/>
      <c r="N34" s="104"/>
      <c r="O34" s="104"/>
      <c r="P34" s="110"/>
      <c r="Q34" s="106"/>
      <c r="R34" s="602"/>
      <c r="S34" s="602"/>
      <c r="T34" s="603" t="str">
        <f>IF($R34="","",ROUND($R34*'autres ldv'!B32,2))</f>
        <v/>
      </c>
      <c r="U34" s="604"/>
      <c r="V34" s="605"/>
      <c r="W34" s="244"/>
    </row>
    <row r="35" spans="2:37" ht="15" customHeight="1" x14ac:dyDescent="0.3">
      <c r="B35" s="36"/>
      <c r="C35" s="36"/>
      <c r="D35" s="36"/>
      <c r="E35" s="36"/>
      <c r="F35" s="36"/>
      <c r="G35" s="36"/>
      <c r="H35" s="36"/>
      <c r="P35" s="26"/>
      <c r="R35" s="128"/>
      <c r="S35" s="128"/>
      <c r="T35" s="131"/>
      <c r="U35" s="131"/>
      <c r="V35" s="132"/>
      <c r="W35" s="244"/>
    </row>
    <row r="36" spans="2:37" ht="13.5" customHeight="1" x14ac:dyDescent="0.3">
      <c r="E36" s="47"/>
      <c r="R36" s="606"/>
      <c r="S36" s="606"/>
      <c r="T36" s="606"/>
      <c r="U36" s="606"/>
      <c r="W36" s="244"/>
    </row>
    <row r="37" spans="2:37" ht="15" customHeight="1" x14ac:dyDescent="0.3">
      <c r="B37" s="607" t="s">
        <v>295</v>
      </c>
      <c r="C37" s="608"/>
      <c r="D37" s="608"/>
      <c r="E37" s="608"/>
      <c r="F37" s="608"/>
      <c r="G37" s="608"/>
      <c r="H37" s="608"/>
      <c r="I37" s="608"/>
      <c r="J37" s="608"/>
      <c r="K37" s="609"/>
      <c r="L37" s="265" t="s">
        <v>282</v>
      </c>
      <c r="M37" s="592" t="s">
        <v>256</v>
      </c>
      <c r="N37" s="592"/>
      <c r="O37" s="592" t="s">
        <v>257</v>
      </c>
      <c r="P37" s="592"/>
      <c r="Q37" s="592" t="s">
        <v>414</v>
      </c>
      <c r="R37" s="592"/>
      <c r="S37" s="592" t="s">
        <v>300</v>
      </c>
      <c r="T37" s="592"/>
      <c r="U37" s="592" t="s">
        <v>315</v>
      </c>
      <c r="V37" s="592"/>
      <c r="W37" s="244"/>
      <c r="AB37" s="215"/>
      <c r="AC37" s="215"/>
      <c r="AD37" s="215"/>
      <c r="AE37" s="215"/>
      <c r="AF37" s="215"/>
      <c r="AG37" s="215"/>
      <c r="AH37" s="215"/>
      <c r="AI37" s="215"/>
      <c r="AJ37" s="215"/>
      <c r="AK37" s="215"/>
    </row>
    <row r="38" spans="2:37" ht="15" customHeight="1" thickBot="1" x14ac:dyDescent="0.35">
      <c r="B38" s="593" t="s">
        <v>1790</v>
      </c>
      <c r="C38" s="594"/>
      <c r="D38" s="594"/>
      <c r="E38" s="594"/>
      <c r="F38" s="594"/>
      <c r="G38" s="594"/>
      <c r="H38" s="594"/>
      <c r="I38" s="594"/>
      <c r="J38" s="594"/>
      <c r="K38" s="594"/>
      <c r="L38" s="286" t="s">
        <v>1798</v>
      </c>
      <c r="M38" s="595">
        <v>45348</v>
      </c>
      <c r="N38" s="595"/>
      <c r="O38" s="596"/>
      <c r="P38" s="596"/>
      <c r="Q38" s="586">
        <v>10.7</v>
      </c>
      <c r="R38" s="586"/>
      <c r="S38" s="597">
        <v>1</v>
      </c>
      <c r="T38" s="598"/>
      <c r="U38" s="599">
        <f>IF($Q38="","",ROUND($Q38/$S38,2))</f>
        <v>10.7</v>
      </c>
      <c r="V38" s="599"/>
      <c r="W38" s="244"/>
      <c r="AB38" s="3"/>
      <c r="AC38" s="3"/>
      <c r="AD38" s="3"/>
      <c r="AE38" s="3"/>
      <c r="AF38" s="3"/>
      <c r="AG38" s="3"/>
      <c r="AH38" s="3"/>
      <c r="AI38" s="3"/>
      <c r="AJ38" s="3"/>
      <c r="AK38" s="3"/>
    </row>
    <row r="39" spans="2:37" ht="15" customHeight="1" thickBot="1" x14ac:dyDescent="0.35">
      <c r="B39" s="489" t="s">
        <v>1791</v>
      </c>
      <c r="C39" s="490"/>
      <c r="D39" s="490"/>
      <c r="E39" s="490"/>
      <c r="F39" s="490"/>
      <c r="G39" s="490"/>
      <c r="H39" s="490"/>
      <c r="I39" s="490"/>
      <c r="J39" s="490"/>
      <c r="K39" s="490"/>
      <c r="L39" s="287" t="s">
        <v>1799</v>
      </c>
      <c r="M39" s="595">
        <v>45348</v>
      </c>
      <c r="N39" s="595"/>
      <c r="O39" s="614"/>
      <c r="P39" s="614"/>
      <c r="Q39" s="615">
        <v>24.5</v>
      </c>
      <c r="R39" s="615"/>
      <c r="S39" s="610">
        <v>1</v>
      </c>
      <c r="T39" s="611"/>
      <c r="U39" s="612">
        <f>IF($Q39="","",ROUND($Q39/$S39,2))</f>
        <v>24.5</v>
      </c>
      <c r="V39" s="612"/>
      <c r="W39" s="244"/>
      <c r="AB39" s="215"/>
      <c r="AC39" s="216"/>
      <c r="AD39" s="216"/>
      <c r="AE39" s="216"/>
      <c r="AF39" s="216"/>
      <c r="AG39" s="216"/>
      <c r="AH39" s="216"/>
      <c r="AI39" s="216"/>
      <c r="AJ39" s="216"/>
      <c r="AK39" s="216"/>
    </row>
    <row r="40" spans="2:37" ht="15" customHeight="1" thickBot="1" x14ac:dyDescent="0.35">
      <c r="B40" s="737" t="s">
        <v>1792</v>
      </c>
      <c r="C40" s="738"/>
      <c r="D40" s="738"/>
      <c r="E40" s="738"/>
      <c r="F40" s="738"/>
      <c r="G40" s="738"/>
      <c r="H40" s="738"/>
      <c r="I40" s="738"/>
      <c r="J40" s="738"/>
      <c r="K40" s="739"/>
      <c r="L40" s="287" t="s">
        <v>1800</v>
      </c>
      <c r="M40" s="595">
        <v>45349</v>
      </c>
      <c r="N40" s="595"/>
      <c r="O40" s="614"/>
      <c r="P40" s="614"/>
      <c r="Q40" s="615">
        <v>22.34</v>
      </c>
      <c r="R40" s="615"/>
      <c r="S40" s="610">
        <v>1</v>
      </c>
      <c r="T40" s="611"/>
      <c r="U40" s="612">
        <f t="shared" ref="U40:U70" si="12">IF($Q40="","",ROUND($Q40/$S40,2))</f>
        <v>22.34</v>
      </c>
      <c r="V40" s="612"/>
      <c r="W40" s="244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2:37" ht="15" customHeight="1" thickBot="1" x14ac:dyDescent="0.35">
      <c r="B41" s="737" t="s">
        <v>1793</v>
      </c>
      <c r="C41" s="738"/>
      <c r="D41" s="738"/>
      <c r="E41" s="738"/>
      <c r="F41" s="738"/>
      <c r="G41" s="738"/>
      <c r="H41" s="738"/>
      <c r="I41" s="738"/>
      <c r="J41" s="738"/>
      <c r="K41" s="739"/>
      <c r="L41" s="287" t="s">
        <v>1799</v>
      </c>
      <c r="M41" s="595">
        <v>45349</v>
      </c>
      <c r="N41" s="595"/>
      <c r="O41" s="614"/>
      <c r="P41" s="614"/>
      <c r="Q41" s="615">
        <v>13.5</v>
      </c>
      <c r="R41" s="615"/>
      <c r="S41" s="610">
        <v>1</v>
      </c>
      <c r="T41" s="611"/>
      <c r="U41" s="612">
        <f t="shared" si="12"/>
        <v>13.5</v>
      </c>
      <c r="V41" s="612"/>
      <c r="W41" s="244"/>
      <c r="AB41" s="215"/>
      <c r="AC41" s="216"/>
      <c r="AD41" s="216"/>
      <c r="AE41" s="216"/>
      <c r="AF41" s="216"/>
      <c r="AG41" s="216"/>
      <c r="AH41" s="216"/>
      <c r="AI41" s="216"/>
      <c r="AJ41" s="216"/>
      <c r="AK41" s="216"/>
    </row>
    <row r="42" spans="2:37" ht="15" customHeight="1" thickBot="1" x14ac:dyDescent="0.35">
      <c r="B42" s="737" t="s">
        <v>1794</v>
      </c>
      <c r="C42" s="738"/>
      <c r="D42" s="738"/>
      <c r="E42" s="738"/>
      <c r="F42" s="738"/>
      <c r="G42" s="738"/>
      <c r="H42" s="738"/>
      <c r="I42" s="738"/>
      <c r="J42" s="738"/>
      <c r="K42" s="739"/>
      <c r="L42" s="287" t="s">
        <v>1801</v>
      </c>
      <c r="M42" s="595">
        <v>45350</v>
      </c>
      <c r="N42" s="595"/>
      <c r="O42" s="614"/>
      <c r="P42" s="614"/>
      <c r="Q42" s="615">
        <v>14.18</v>
      </c>
      <c r="R42" s="615"/>
      <c r="S42" s="610">
        <v>1</v>
      </c>
      <c r="T42" s="611"/>
      <c r="U42" s="612">
        <f t="shared" si="12"/>
        <v>14.18</v>
      </c>
      <c r="V42" s="612"/>
      <c r="W42" s="244"/>
      <c r="AB42" s="3"/>
      <c r="AC42" s="3"/>
      <c r="AD42" s="3"/>
      <c r="AE42" s="3"/>
      <c r="AF42" s="3"/>
      <c r="AG42" s="3"/>
    </row>
    <row r="43" spans="2:37" ht="15" customHeight="1" thickBot="1" x14ac:dyDescent="0.35">
      <c r="B43" s="489" t="s">
        <v>1795</v>
      </c>
      <c r="C43" s="490"/>
      <c r="D43" s="490"/>
      <c r="E43" s="490"/>
      <c r="F43" s="490"/>
      <c r="G43" s="490"/>
      <c r="H43" s="490"/>
      <c r="I43" s="490"/>
      <c r="J43" s="490"/>
      <c r="K43" s="490"/>
      <c r="L43" s="287" t="s">
        <v>1802</v>
      </c>
      <c r="M43" s="595">
        <v>45350</v>
      </c>
      <c r="N43" s="595"/>
      <c r="O43" s="614"/>
      <c r="P43" s="614"/>
      <c r="Q43" s="615">
        <v>16.5</v>
      </c>
      <c r="R43" s="615"/>
      <c r="S43" s="610">
        <v>1</v>
      </c>
      <c r="T43" s="611"/>
      <c r="U43" s="612">
        <f t="shared" si="12"/>
        <v>16.5</v>
      </c>
      <c r="V43" s="612"/>
      <c r="W43" s="244"/>
      <c r="AB43" s="217"/>
      <c r="AC43" s="217"/>
      <c r="AD43" s="217"/>
      <c r="AE43" s="217"/>
      <c r="AF43" s="217"/>
      <c r="AG43" s="217"/>
      <c r="AH43" s="217"/>
      <c r="AI43" s="217"/>
      <c r="AJ43" s="217"/>
      <c r="AK43" s="217"/>
    </row>
    <row r="44" spans="2:37" ht="15" customHeight="1" thickBot="1" x14ac:dyDescent="0.35">
      <c r="B44" s="489" t="s">
        <v>1796</v>
      </c>
      <c r="C44" s="490"/>
      <c r="D44" s="490"/>
      <c r="E44" s="490"/>
      <c r="F44" s="490"/>
      <c r="G44" s="490"/>
      <c r="H44" s="490"/>
      <c r="I44" s="490"/>
      <c r="J44" s="490"/>
      <c r="K44" s="490"/>
      <c r="L44" s="287" t="s">
        <v>1803</v>
      </c>
      <c r="M44" s="595">
        <v>45351</v>
      </c>
      <c r="N44" s="595"/>
      <c r="O44" s="614"/>
      <c r="P44" s="614"/>
      <c r="Q44" s="615">
        <v>16.63</v>
      </c>
      <c r="R44" s="615"/>
      <c r="S44" s="610">
        <v>1</v>
      </c>
      <c r="T44" s="611"/>
      <c r="U44" s="612">
        <f t="shared" si="12"/>
        <v>16.63</v>
      </c>
      <c r="V44" s="612"/>
      <c r="W44" s="244"/>
      <c r="AB44" s="213"/>
      <c r="AC44" s="213"/>
      <c r="AD44" s="213"/>
      <c r="AE44" s="213"/>
      <c r="AF44" s="213"/>
      <c r="AG44" s="213"/>
      <c r="AH44" s="213"/>
      <c r="AI44" s="213"/>
      <c r="AJ44" s="213"/>
      <c r="AK44" s="213"/>
    </row>
    <row r="45" spans="2:37" ht="15" customHeight="1" thickBot="1" x14ac:dyDescent="0.35">
      <c r="B45" s="489" t="s">
        <v>1797</v>
      </c>
      <c r="C45" s="490"/>
      <c r="D45" s="490"/>
      <c r="E45" s="490"/>
      <c r="F45" s="490"/>
      <c r="G45" s="490"/>
      <c r="H45" s="490"/>
      <c r="I45" s="490"/>
      <c r="J45" s="490"/>
      <c r="K45" s="490"/>
      <c r="L45" s="287" t="s">
        <v>1804</v>
      </c>
      <c r="M45" s="595">
        <v>45351</v>
      </c>
      <c r="N45" s="595"/>
      <c r="O45" s="614"/>
      <c r="P45" s="614"/>
      <c r="Q45" s="615">
        <v>8.23</v>
      </c>
      <c r="R45" s="615"/>
      <c r="S45" s="610">
        <v>1</v>
      </c>
      <c r="T45" s="611"/>
      <c r="U45" s="612">
        <f t="shared" si="12"/>
        <v>8.23</v>
      </c>
      <c r="V45" s="612"/>
      <c r="W45" s="244"/>
      <c r="AB45" s="214"/>
      <c r="AC45" s="214"/>
      <c r="AD45" s="214"/>
      <c r="AE45" s="214"/>
      <c r="AF45" s="214"/>
      <c r="AG45" s="214"/>
      <c r="AH45" s="214"/>
      <c r="AI45" s="214"/>
      <c r="AJ45" s="214"/>
      <c r="AK45" s="214"/>
    </row>
    <row r="46" spans="2:37" ht="15" customHeight="1" thickBot="1" x14ac:dyDescent="0.35">
      <c r="B46" s="489" t="s">
        <v>1805</v>
      </c>
      <c r="C46" s="490"/>
      <c r="D46" s="490"/>
      <c r="E46" s="490"/>
      <c r="F46" s="490"/>
      <c r="G46" s="490"/>
      <c r="H46" s="490"/>
      <c r="I46" s="490"/>
      <c r="J46" s="490"/>
      <c r="K46" s="490"/>
      <c r="L46" s="287" t="s">
        <v>1806</v>
      </c>
      <c r="M46" s="613">
        <v>45348</v>
      </c>
      <c r="N46" s="613"/>
      <c r="O46" s="614"/>
      <c r="P46" s="614"/>
      <c r="Q46" s="615">
        <v>9</v>
      </c>
      <c r="R46" s="615"/>
      <c r="S46" s="610">
        <v>1</v>
      </c>
      <c r="T46" s="611"/>
      <c r="U46" s="612">
        <f t="shared" si="12"/>
        <v>9</v>
      </c>
      <c r="V46" s="612"/>
      <c r="W46" s="244"/>
      <c r="AB46" s="3"/>
      <c r="AC46" s="3"/>
      <c r="AD46" s="3"/>
      <c r="AE46" s="3"/>
      <c r="AF46" s="3"/>
      <c r="AG46" s="3"/>
    </row>
    <row r="47" spans="2:37" ht="15" customHeight="1" thickBot="1" x14ac:dyDescent="0.35">
      <c r="B47" s="489"/>
      <c r="C47" s="490"/>
      <c r="D47" s="490"/>
      <c r="E47" s="490"/>
      <c r="F47" s="490"/>
      <c r="G47" s="490"/>
      <c r="H47" s="490"/>
      <c r="I47" s="490"/>
      <c r="J47" s="490"/>
      <c r="K47" s="490"/>
      <c r="L47" s="287"/>
      <c r="M47" s="613"/>
      <c r="N47" s="613"/>
      <c r="O47" s="614"/>
      <c r="P47" s="614"/>
      <c r="Q47" s="615"/>
      <c r="R47" s="615"/>
      <c r="S47" s="610"/>
      <c r="T47" s="611"/>
      <c r="U47" s="612" t="str">
        <f t="shared" si="12"/>
        <v/>
      </c>
      <c r="V47" s="612"/>
      <c r="W47" s="244"/>
      <c r="AB47" s="719"/>
      <c r="AC47" s="719"/>
      <c r="AD47" s="719"/>
      <c r="AE47" s="719"/>
      <c r="AF47" s="719"/>
      <c r="AG47" s="719"/>
      <c r="AH47" s="719"/>
      <c r="AI47" s="719"/>
      <c r="AJ47" s="719"/>
      <c r="AK47" s="719"/>
    </row>
    <row r="48" spans="2:37" ht="15" customHeight="1" thickBot="1" x14ac:dyDescent="0.35">
      <c r="B48" s="489"/>
      <c r="C48" s="490"/>
      <c r="D48" s="490"/>
      <c r="E48" s="490"/>
      <c r="F48" s="490"/>
      <c r="G48" s="490"/>
      <c r="H48" s="490"/>
      <c r="I48" s="490"/>
      <c r="J48" s="490"/>
      <c r="K48" s="490"/>
      <c r="L48" s="287"/>
      <c r="M48" s="613"/>
      <c r="N48" s="613"/>
      <c r="O48" s="614"/>
      <c r="P48" s="614"/>
      <c r="Q48" s="615"/>
      <c r="R48" s="615"/>
      <c r="S48" s="610"/>
      <c r="T48" s="611"/>
      <c r="U48" s="612" t="str">
        <f t="shared" si="12"/>
        <v/>
      </c>
      <c r="V48" s="612"/>
      <c r="W48" s="244"/>
    </row>
    <row r="49" spans="2:23" ht="15" customHeight="1" thickBot="1" x14ac:dyDescent="0.35">
      <c r="B49" s="489"/>
      <c r="C49" s="490"/>
      <c r="D49" s="490"/>
      <c r="E49" s="490"/>
      <c r="F49" s="490"/>
      <c r="G49" s="490"/>
      <c r="H49" s="490"/>
      <c r="I49" s="490"/>
      <c r="J49" s="490"/>
      <c r="K49" s="490"/>
      <c r="L49" s="287"/>
      <c r="M49" s="613"/>
      <c r="N49" s="613"/>
      <c r="O49" s="614"/>
      <c r="P49" s="614"/>
      <c r="Q49" s="615"/>
      <c r="R49" s="615"/>
      <c r="S49" s="610"/>
      <c r="T49" s="611"/>
      <c r="U49" s="612" t="str">
        <f t="shared" si="12"/>
        <v/>
      </c>
      <c r="V49" s="612"/>
      <c r="W49" s="244"/>
    </row>
    <row r="50" spans="2:23" ht="15" customHeight="1" thickBot="1" x14ac:dyDescent="0.35">
      <c r="B50" s="489"/>
      <c r="C50" s="490"/>
      <c r="D50" s="490"/>
      <c r="E50" s="490"/>
      <c r="F50" s="490"/>
      <c r="G50" s="490"/>
      <c r="H50" s="490"/>
      <c r="I50" s="490"/>
      <c r="J50" s="490"/>
      <c r="K50" s="490"/>
      <c r="L50" s="287"/>
      <c r="M50" s="613"/>
      <c r="N50" s="613"/>
      <c r="O50" s="614"/>
      <c r="P50" s="614"/>
      <c r="Q50" s="615"/>
      <c r="R50" s="615"/>
      <c r="S50" s="610"/>
      <c r="T50" s="611"/>
      <c r="U50" s="612" t="str">
        <f t="shared" si="12"/>
        <v/>
      </c>
      <c r="V50" s="612"/>
      <c r="W50" s="244"/>
    </row>
    <row r="51" spans="2:23" ht="15" customHeight="1" thickBot="1" x14ac:dyDescent="0.35">
      <c r="B51" s="489"/>
      <c r="C51" s="490"/>
      <c r="D51" s="490"/>
      <c r="E51" s="490"/>
      <c r="F51" s="490"/>
      <c r="G51" s="490"/>
      <c r="H51" s="490"/>
      <c r="I51" s="490"/>
      <c r="J51" s="490"/>
      <c r="K51" s="490"/>
      <c r="L51" s="287"/>
      <c r="M51" s="613"/>
      <c r="N51" s="613"/>
      <c r="O51" s="614"/>
      <c r="P51" s="614"/>
      <c r="Q51" s="615"/>
      <c r="R51" s="615"/>
      <c r="S51" s="610"/>
      <c r="T51" s="611"/>
      <c r="U51" s="612" t="str">
        <f t="shared" si="12"/>
        <v/>
      </c>
      <c r="V51" s="612"/>
      <c r="W51" s="244"/>
    </row>
    <row r="52" spans="2:23" ht="15" customHeight="1" thickBot="1" x14ac:dyDescent="0.35">
      <c r="B52" s="489"/>
      <c r="C52" s="490"/>
      <c r="D52" s="490"/>
      <c r="E52" s="490"/>
      <c r="F52" s="490"/>
      <c r="G52" s="490"/>
      <c r="H52" s="490"/>
      <c r="I52" s="490"/>
      <c r="J52" s="490"/>
      <c r="K52" s="490"/>
      <c r="L52" s="287"/>
      <c r="M52" s="613"/>
      <c r="N52" s="613"/>
      <c r="O52" s="614"/>
      <c r="P52" s="614"/>
      <c r="Q52" s="615"/>
      <c r="R52" s="615"/>
      <c r="S52" s="610"/>
      <c r="T52" s="611"/>
      <c r="U52" s="612" t="str">
        <f t="shared" si="12"/>
        <v/>
      </c>
      <c r="V52" s="612"/>
      <c r="W52" s="244"/>
    </row>
    <row r="53" spans="2:23" ht="15" customHeight="1" thickBot="1" x14ac:dyDescent="0.35">
      <c r="B53" s="489"/>
      <c r="C53" s="490"/>
      <c r="D53" s="490"/>
      <c r="E53" s="490"/>
      <c r="F53" s="490"/>
      <c r="G53" s="490"/>
      <c r="H53" s="490"/>
      <c r="I53" s="490"/>
      <c r="J53" s="490"/>
      <c r="K53" s="490"/>
      <c r="L53" s="287"/>
      <c r="M53" s="613"/>
      <c r="N53" s="613"/>
      <c r="O53" s="614"/>
      <c r="P53" s="614"/>
      <c r="Q53" s="615"/>
      <c r="R53" s="615"/>
      <c r="S53" s="610"/>
      <c r="T53" s="611"/>
      <c r="U53" s="612" t="str">
        <f t="shared" si="12"/>
        <v/>
      </c>
      <c r="V53" s="612"/>
      <c r="W53" s="244"/>
    </row>
    <row r="54" spans="2:23" ht="15" customHeight="1" thickBot="1" x14ac:dyDescent="0.35">
      <c r="B54" s="489"/>
      <c r="C54" s="490"/>
      <c r="D54" s="490"/>
      <c r="E54" s="490"/>
      <c r="F54" s="490"/>
      <c r="G54" s="490"/>
      <c r="H54" s="490"/>
      <c r="I54" s="490"/>
      <c r="J54" s="490"/>
      <c r="K54" s="490"/>
      <c r="L54" s="287"/>
      <c r="M54" s="613"/>
      <c r="N54" s="613"/>
      <c r="O54" s="614"/>
      <c r="P54" s="614"/>
      <c r="Q54" s="615"/>
      <c r="R54" s="615"/>
      <c r="S54" s="610"/>
      <c r="T54" s="611"/>
      <c r="U54" s="612" t="str">
        <f t="shared" si="12"/>
        <v/>
      </c>
      <c r="V54" s="612"/>
      <c r="W54" s="244"/>
    </row>
    <row r="55" spans="2:23" ht="15" customHeight="1" thickBot="1" x14ac:dyDescent="0.35">
      <c r="B55" s="489"/>
      <c r="C55" s="490"/>
      <c r="D55" s="490"/>
      <c r="E55" s="490"/>
      <c r="F55" s="490"/>
      <c r="G55" s="490"/>
      <c r="H55" s="490"/>
      <c r="I55" s="490"/>
      <c r="J55" s="490"/>
      <c r="K55" s="490"/>
      <c r="L55" s="287"/>
      <c r="M55" s="613"/>
      <c r="N55" s="613"/>
      <c r="O55" s="614"/>
      <c r="P55" s="614"/>
      <c r="Q55" s="615"/>
      <c r="R55" s="615"/>
      <c r="S55" s="610"/>
      <c r="T55" s="611"/>
      <c r="U55" s="612" t="str">
        <f t="shared" si="12"/>
        <v/>
      </c>
      <c r="V55" s="612"/>
      <c r="W55" s="244"/>
    </row>
    <row r="56" spans="2:23" ht="15" customHeight="1" thickBot="1" x14ac:dyDescent="0.35">
      <c r="B56" s="489"/>
      <c r="C56" s="490"/>
      <c r="D56" s="490"/>
      <c r="E56" s="490"/>
      <c r="F56" s="490"/>
      <c r="G56" s="490"/>
      <c r="H56" s="490"/>
      <c r="I56" s="490"/>
      <c r="J56" s="490"/>
      <c r="K56" s="490"/>
      <c r="L56" s="287"/>
      <c r="M56" s="613"/>
      <c r="N56" s="613"/>
      <c r="O56" s="614"/>
      <c r="P56" s="614"/>
      <c r="Q56" s="615"/>
      <c r="R56" s="615"/>
      <c r="S56" s="610"/>
      <c r="T56" s="611"/>
      <c r="U56" s="612" t="str">
        <f t="shared" si="12"/>
        <v/>
      </c>
      <c r="V56" s="612"/>
      <c r="W56" s="244"/>
    </row>
    <row r="57" spans="2:23" ht="15" customHeight="1" thickBot="1" x14ac:dyDescent="0.35">
      <c r="B57" s="489"/>
      <c r="C57" s="490"/>
      <c r="D57" s="490"/>
      <c r="E57" s="490"/>
      <c r="F57" s="490"/>
      <c r="G57" s="490"/>
      <c r="H57" s="490"/>
      <c r="I57" s="490"/>
      <c r="J57" s="490"/>
      <c r="K57" s="490"/>
      <c r="L57" s="287"/>
      <c r="M57" s="613"/>
      <c r="N57" s="613"/>
      <c r="O57" s="614"/>
      <c r="P57" s="614"/>
      <c r="Q57" s="615"/>
      <c r="R57" s="615"/>
      <c r="S57" s="610"/>
      <c r="T57" s="611"/>
      <c r="U57" s="612" t="str">
        <f t="shared" si="12"/>
        <v/>
      </c>
      <c r="V57" s="612"/>
      <c r="W57" s="244"/>
    </row>
    <row r="58" spans="2:23" ht="15" customHeight="1" thickBot="1" x14ac:dyDescent="0.35">
      <c r="B58" s="489"/>
      <c r="C58" s="490"/>
      <c r="D58" s="490"/>
      <c r="E58" s="490"/>
      <c r="F58" s="490"/>
      <c r="G58" s="490"/>
      <c r="H58" s="490"/>
      <c r="I58" s="490"/>
      <c r="J58" s="490"/>
      <c r="K58" s="490"/>
      <c r="L58" s="287"/>
      <c r="M58" s="613"/>
      <c r="N58" s="613"/>
      <c r="O58" s="614"/>
      <c r="P58" s="614"/>
      <c r="Q58" s="615"/>
      <c r="R58" s="615"/>
      <c r="S58" s="610"/>
      <c r="T58" s="611"/>
      <c r="U58" s="612" t="str">
        <f t="shared" si="12"/>
        <v/>
      </c>
      <c r="V58" s="612"/>
      <c r="W58" s="244"/>
    </row>
    <row r="59" spans="2:23" ht="15" customHeight="1" thickBot="1" x14ac:dyDescent="0.35">
      <c r="B59" s="489"/>
      <c r="C59" s="490"/>
      <c r="D59" s="490"/>
      <c r="E59" s="490"/>
      <c r="F59" s="490"/>
      <c r="G59" s="490"/>
      <c r="H59" s="490"/>
      <c r="I59" s="490"/>
      <c r="J59" s="490"/>
      <c r="K59" s="490"/>
      <c r="L59" s="287"/>
      <c r="M59" s="613"/>
      <c r="N59" s="613"/>
      <c r="O59" s="614"/>
      <c r="P59" s="614"/>
      <c r="Q59" s="615"/>
      <c r="R59" s="615"/>
      <c r="S59" s="610"/>
      <c r="T59" s="611"/>
      <c r="U59" s="612" t="str">
        <f t="shared" si="12"/>
        <v/>
      </c>
      <c r="V59" s="612"/>
      <c r="W59" s="244"/>
    </row>
    <row r="60" spans="2:23" ht="15" customHeight="1" thickBot="1" x14ac:dyDescent="0.35">
      <c r="B60" s="489"/>
      <c r="C60" s="490"/>
      <c r="D60" s="490"/>
      <c r="E60" s="490"/>
      <c r="F60" s="490"/>
      <c r="G60" s="490"/>
      <c r="H60" s="490"/>
      <c r="I60" s="490"/>
      <c r="J60" s="490"/>
      <c r="K60" s="490"/>
      <c r="L60" s="287"/>
      <c r="M60" s="613"/>
      <c r="N60" s="613"/>
      <c r="O60" s="614"/>
      <c r="P60" s="614"/>
      <c r="Q60" s="615"/>
      <c r="R60" s="615"/>
      <c r="S60" s="610"/>
      <c r="T60" s="611"/>
      <c r="U60" s="612" t="str">
        <f t="shared" si="12"/>
        <v/>
      </c>
      <c r="V60" s="612"/>
      <c r="W60" s="244"/>
    </row>
    <row r="61" spans="2:23" ht="15" customHeight="1" thickBot="1" x14ac:dyDescent="0.35">
      <c r="B61" s="489"/>
      <c r="C61" s="490"/>
      <c r="D61" s="490"/>
      <c r="E61" s="490"/>
      <c r="F61" s="490"/>
      <c r="G61" s="490"/>
      <c r="H61" s="490"/>
      <c r="I61" s="490"/>
      <c r="J61" s="490"/>
      <c r="K61" s="490"/>
      <c r="L61" s="287"/>
      <c r="M61" s="613"/>
      <c r="N61" s="613"/>
      <c r="O61" s="614"/>
      <c r="P61" s="614"/>
      <c r="Q61" s="615"/>
      <c r="R61" s="615"/>
      <c r="S61" s="610"/>
      <c r="T61" s="611"/>
      <c r="U61" s="612" t="str">
        <f t="shared" si="12"/>
        <v/>
      </c>
      <c r="V61" s="612"/>
      <c r="W61" s="244"/>
    </row>
    <row r="62" spans="2:23" ht="15" customHeight="1" thickBot="1" x14ac:dyDescent="0.35">
      <c r="B62" s="489"/>
      <c r="C62" s="490"/>
      <c r="D62" s="490"/>
      <c r="E62" s="490"/>
      <c r="F62" s="490"/>
      <c r="G62" s="490"/>
      <c r="H62" s="490"/>
      <c r="I62" s="490"/>
      <c r="J62" s="490"/>
      <c r="K62" s="490"/>
      <c r="L62" s="287"/>
      <c r="M62" s="613"/>
      <c r="N62" s="613"/>
      <c r="O62" s="614"/>
      <c r="P62" s="614"/>
      <c r="Q62" s="615"/>
      <c r="R62" s="615"/>
      <c r="S62" s="610"/>
      <c r="T62" s="611"/>
      <c r="U62" s="612" t="str">
        <f t="shared" si="12"/>
        <v/>
      </c>
      <c r="V62" s="612"/>
      <c r="W62" s="244"/>
    </row>
    <row r="63" spans="2:23" ht="15" customHeight="1" thickBot="1" x14ac:dyDescent="0.35">
      <c r="B63" s="489"/>
      <c r="C63" s="490"/>
      <c r="D63" s="490"/>
      <c r="E63" s="490"/>
      <c r="F63" s="490"/>
      <c r="G63" s="490"/>
      <c r="H63" s="490"/>
      <c r="I63" s="490"/>
      <c r="J63" s="490"/>
      <c r="K63" s="490"/>
      <c r="L63" s="287"/>
      <c r="M63" s="613"/>
      <c r="N63" s="613"/>
      <c r="O63" s="614"/>
      <c r="P63" s="614"/>
      <c r="Q63" s="615"/>
      <c r="R63" s="615"/>
      <c r="S63" s="610"/>
      <c r="T63" s="611"/>
      <c r="U63" s="612" t="str">
        <f t="shared" si="12"/>
        <v/>
      </c>
      <c r="V63" s="612"/>
      <c r="W63" s="244"/>
    </row>
    <row r="64" spans="2:23" ht="15" customHeight="1" thickBot="1" x14ac:dyDescent="0.35">
      <c r="B64" s="489"/>
      <c r="C64" s="490"/>
      <c r="D64" s="490"/>
      <c r="E64" s="490"/>
      <c r="F64" s="490"/>
      <c r="G64" s="490"/>
      <c r="H64" s="490"/>
      <c r="I64" s="490"/>
      <c r="J64" s="490"/>
      <c r="K64" s="490"/>
      <c r="L64" s="287"/>
      <c r="M64" s="613"/>
      <c r="N64" s="613"/>
      <c r="O64" s="614"/>
      <c r="P64" s="614"/>
      <c r="Q64" s="615"/>
      <c r="R64" s="615"/>
      <c r="S64" s="610"/>
      <c r="T64" s="611"/>
      <c r="U64" s="612" t="str">
        <f t="shared" si="12"/>
        <v/>
      </c>
      <c r="V64" s="612"/>
      <c r="W64" s="244"/>
    </row>
    <row r="65" spans="2:23" ht="15" customHeight="1" thickBot="1" x14ac:dyDescent="0.35">
      <c r="B65" s="489"/>
      <c r="C65" s="490"/>
      <c r="D65" s="490"/>
      <c r="E65" s="490"/>
      <c r="F65" s="490"/>
      <c r="G65" s="490"/>
      <c r="H65" s="490"/>
      <c r="I65" s="490"/>
      <c r="J65" s="490"/>
      <c r="K65" s="490"/>
      <c r="L65" s="287"/>
      <c r="M65" s="613"/>
      <c r="N65" s="613"/>
      <c r="O65" s="614"/>
      <c r="P65" s="614"/>
      <c r="Q65" s="615"/>
      <c r="R65" s="615"/>
      <c r="S65" s="610"/>
      <c r="T65" s="611"/>
      <c r="U65" s="612" t="str">
        <f t="shared" si="12"/>
        <v/>
      </c>
      <c r="V65" s="612"/>
      <c r="W65" s="244"/>
    </row>
    <row r="66" spans="2:23" ht="15" customHeight="1" thickBot="1" x14ac:dyDescent="0.35">
      <c r="B66" s="489"/>
      <c r="C66" s="490"/>
      <c r="D66" s="490"/>
      <c r="E66" s="490"/>
      <c r="F66" s="490"/>
      <c r="G66" s="490"/>
      <c r="H66" s="490"/>
      <c r="I66" s="490"/>
      <c r="J66" s="490"/>
      <c r="K66" s="490"/>
      <c r="L66" s="287"/>
      <c r="M66" s="613"/>
      <c r="N66" s="613"/>
      <c r="O66" s="614"/>
      <c r="P66" s="614"/>
      <c r="Q66" s="615"/>
      <c r="R66" s="615"/>
      <c r="S66" s="610"/>
      <c r="T66" s="611"/>
      <c r="U66" s="612" t="str">
        <f t="shared" si="12"/>
        <v/>
      </c>
      <c r="V66" s="612"/>
      <c r="W66" s="244"/>
    </row>
    <row r="67" spans="2:23" ht="15" customHeight="1" thickBot="1" x14ac:dyDescent="0.35">
      <c r="B67" s="489"/>
      <c r="C67" s="490"/>
      <c r="D67" s="490"/>
      <c r="E67" s="490"/>
      <c r="F67" s="490"/>
      <c r="G67" s="490"/>
      <c r="H67" s="490"/>
      <c r="I67" s="490"/>
      <c r="J67" s="490"/>
      <c r="K67" s="490"/>
      <c r="L67" s="287"/>
      <c r="M67" s="613"/>
      <c r="N67" s="613"/>
      <c r="O67" s="614"/>
      <c r="P67" s="614"/>
      <c r="Q67" s="615"/>
      <c r="R67" s="615"/>
      <c r="S67" s="610"/>
      <c r="T67" s="611"/>
      <c r="U67" s="612" t="str">
        <f t="shared" si="12"/>
        <v/>
      </c>
      <c r="V67" s="612"/>
      <c r="W67" s="244"/>
    </row>
    <row r="68" spans="2:23" ht="15" customHeight="1" thickBot="1" x14ac:dyDescent="0.35">
      <c r="B68" s="489"/>
      <c r="C68" s="490"/>
      <c r="D68" s="490"/>
      <c r="E68" s="490"/>
      <c r="F68" s="490"/>
      <c r="G68" s="490"/>
      <c r="H68" s="490"/>
      <c r="I68" s="490"/>
      <c r="J68" s="490"/>
      <c r="K68" s="490"/>
      <c r="L68" s="287"/>
      <c r="M68" s="613"/>
      <c r="N68" s="613"/>
      <c r="O68" s="614"/>
      <c r="P68" s="614"/>
      <c r="Q68" s="615"/>
      <c r="R68" s="615"/>
      <c r="S68" s="610"/>
      <c r="T68" s="611"/>
      <c r="U68" s="612" t="str">
        <f t="shared" si="12"/>
        <v/>
      </c>
      <c r="V68" s="612"/>
      <c r="W68" s="244"/>
    </row>
    <row r="69" spans="2:23" ht="15" customHeight="1" thickBot="1" x14ac:dyDescent="0.35">
      <c r="B69" s="489"/>
      <c r="C69" s="490"/>
      <c r="D69" s="490"/>
      <c r="E69" s="490"/>
      <c r="F69" s="490"/>
      <c r="G69" s="490"/>
      <c r="H69" s="490"/>
      <c r="I69" s="490"/>
      <c r="J69" s="490"/>
      <c r="K69" s="490"/>
      <c r="L69" s="287"/>
      <c r="M69" s="613"/>
      <c r="N69" s="613"/>
      <c r="O69" s="614"/>
      <c r="P69" s="614"/>
      <c r="Q69" s="615"/>
      <c r="R69" s="615"/>
      <c r="S69" s="610"/>
      <c r="T69" s="611"/>
      <c r="U69" s="612" t="str">
        <f t="shared" si="12"/>
        <v/>
      </c>
      <c r="V69" s="612"/>
      <c r="W69" s="244"/>
    </row>
    <row r="70" spans="2:23" ht="15" customHeight="1" thickBot="1" x14ac:dyDescent="0.35">
      <c r="B70" s="489"/>
      <c r="C70" s="490"/>
      <c r="D70" s="490"/>
      <c r="E70" s="490"/>
      <c r="F70" s="490"/>
      <c r="G70" s="490"/>
      <c r="H70" s="490"/>
      <c r="I70" s="490"/>
      <c r="J70" s="490"/>
      <c r="K70" s="490"/>
      <c r="L70" s="287"/>
      <c r="M70" s="613"/>
      <c r="N70" s="613"/>
      <c r="O70" s="614"/>
      <c r="P70" s="614"/>
      <c r="Q70" s="615"/>
      <c r="R70" s="615"/>
      <c r="S70" s="610"/>
      <c r="T70" s="611"/>
      <c r="U70" s="612" t="str">
        <f t="shared" si="12"/>
        <v/>
      </c>
      <c r="V70" s="612"/>
      <c r="W70" s="244"/>
    </row>
    <row r="71" spans="2:23" ht="15" customHeight="1" x14ac:dyDescent="0.3">
      <c r="B71" s="716"/>
      <c r="C71" s="717"/>
      <c r="D71" s="717"/>
      <c r="E71" s="717"/>
      <c r="F71" s="717"/>
      <c r="G71" s="717"/>
      <c r="H71" s="717"/>
      <c r="I71" s="717"/>
      <c r="J71" s="717"/>
      <c r="K71" s="717"/>
      <c r="L71" s="288"/>
      <c r="M71" s="715"/>
      <c r="N71" s="715"/>
      <c r="O71" s="705"/>
      <c r="P71" s="705"/>
      <c r="Q71" s="563"/>
      <c r="R71" s="563"/>
      <c r="S71" s="706"/>
      <c r="T71" s="707"/>
      <c r="U71" s="668" t="str">
        <f>IF($Q71="","",ROUND($Q71/$S71,2))</f>
        <v/>
      </c>
      <c r="V71" s="668"/>
      <c r="W71" s="244"/>
    </row>
    <row r="72" spans="2:23" ht="15" customHeight="1" x14ac:dyDescent="0.3"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26"/>
      <c r="M72" s="133"/>
      <c r="N72" s="133"/>
      <c r="O72" s="26"/>
      <c r="P72" s="26"/>
      <c r="Q72" s="134"/>
      <c r="R72" s="134"/>
      <c r="S72" s="134"/>
      <c r="T72" s="135"/>
      <c r="U72" s="136"/>
      <c r="V72" s="137"/>
      <c r="W72" s="244"/>
    </row>
    <row r="73" spans="2:23" ht="5.0999999999999996" customHeight="1" x14ac:dyDescent="0.3">
      <c r="B73" s="111"/>
      <c r="C73" s="111"/>
      <c r="D73" s="111"/>
      <c r="E73" s="47"/>
      <c r="G73" s="26"/>
      <c r="H73" s="26"/>
      <c r="I73" s="26"/>
      <c r="J73" s="26"/>
      <c r="R73" s="26"/>
      <c r="T73" s="702"/>
      <c r="U73" s="702"/>
      <c r="W73" s="244"/>
    </row>
    <row r="74" spans="2:23" x14ac:dyDescent="0.3">
      <c r="B74" s="703" t="s">
        <v>296</v>
      </c>
      <c r="C74" s="703"/>
      <c r="D74" s="703"/>
      <c r="E74" s="703"/>
      <c r="F74" s="703"/>
      <c r="G74" s="703"/>
      <c r="H74" s="703"/>
      <c r="I74" s="703"/>
      <c r="J74" s="704"/>
      <c r="K74" s="266"/>
      <c r="L74" s="266"/>
      <c r="M74" s="266"/>
      <c r="N74" s="266"/>
      <c r="O74" s="266"/>
      <c r="P74" s="266"/>
      <c r="Q74" s="266"/>
      <c r="R74" s="267"/>
      <c r="S74" s="649" t="s">
        <v>264</v>
      </c>
      <c r="T74" s="649"/>
      <c r="U74" s="649" t="s">
        <v>315</v>
      </c>
      <c r="V74" s="649"/>
      <c r="W74" s="244"/>
    </row>
    <row r="75" spans="2:23" ht="15" customHeight="1" thickBot="1" x14ac:dyDescent="0.35">
      <c r="B75" s="629"/>
      <c r="C75" s="630"/>
      <c r="D75" s="630"/>
      <c r="E75" s="630"/>
      <c r="F75" s="630"/>
      <c r="G75" s="630"/>
      <c r="H75" s="630"/>
      <c r="I75" s="630"/>
      <c r="J75" s="630"/>
      <c r="K75" s="630"/>
      <c r="L75" s="630"/>
      <c r="M75" s="630"/>
      <c r="N75" s="630"/>
      <c r="O75" s="630"/>
      <c r="P75" s="631"/>
      <c r="Q75" s="635" t="s">
        <v>262</v>
      </c>
      <c r="R75" s="635"/>
      <c r="S75" s="573"/>
      <c r="T75" s="636"/>
      <c r="U75" s="599" t="str">
        <f>IF($S75="","",ROUND($S75*'autres ldv'!B24,2))</f>
        <v/>
      </c>
      <c r="V75" s="599"/>
      <c r="W75" s="244"/>
    </row>
    <row r="76" spans="2:23" x14ac:dyDescent="0.3">
      <c r="B76" s="632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37" t="s">
        <v>276</v>
      </c>
      <c r="R76" s="637"/>
      <c r="S76" s="638"/>
      <c r="T76" s="638"/>
      <c r="U76" s="668" t="str">
        <f>IF($S76="","",ROUND($S76*'autres ldv'!B25,2))</f>
        <v/>
      </c>
      <c r="V76" s="668"/>
      <c r="W76" s="244"/>
    </row>
    <row r="77" spans="2:23" x14ac:dyDescent="0.3">
      <c r="B77" s="138"/>
      <c r="C77" s="138"/>
      <c r="D77" s="138"/>
      <c r="E77" s="138"/>
      <c r="F77" s="138"/>
      <c r="G77" s="138"/>
      <c r="H77" s="138"/>
      <c r="I77" s="138"/>
      <c r="J77" s="138"/>
      <c r="K77" s="138"/>
      <c r="L77" s="138"/>
      <c r="M77" s="138"/>
      <c r="N77" s="138"/>
      <c r="O77" s="138"/>
      <c r="P77" s="138"/>
      <c r="Q77" s="26"/>
      <c r="R77" s="26"/>
      <c r="S77" s="139"/>
      <c r="T77" s="139"/>
      <c r="U77" s="137"/>
      <c r="V77" s="137"/>
      <c r="W77" s="244"/>
    </row>
    <row r="78" spans="2:23" x14ac:dyDescent="0.3"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26"/>
      <c r="R78" s="26"/>
      <c r="S78" s="139"/>
      <c r="T78" s="139"/>
      <c r="U78" s="137"/>
      <c r="V78" s="137"/>
      <c r="W78" s="244"/>
    </row>
    <row r="79" spans="2:23" ht="5.0999999999999996" customHeight="1" x14ac:dyDescent="0.3">
      <c r="E79" s="47"/>
      <c r="W79" s="244"/>
    </row>
    <row r="80" spans="2:23" ht="15.6" x14ac:dyDescent="0.3">
      <c r="B80" s="262" t="s">
        <v>302</v>
      </c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4" t="s">
        <v>249</v>
      </c>
      <c r="U80" s="714">
        <f>SUM(U82:V83,U86:V108)</f>
        <v>42.8</v>
      </c>
      <c r="V80" s="576"/>
      <c r="W80" s="245"/>
    </row>
    <row r="81" spans="2:24" ht="15" customHeight="1" x14ac:dyDescent="0.3">
      <c r="B81" s="621" t="s">
        <v>267</v>
      </c>
      <c r="C81" s="622"/>
      <c r="D81" s="622"/>
      <c r="E81" s="622"/>
      <c r="F81" s="622"/>
      <c r="G81" s="623"/>
      <c r="H81" s="624" t="s">
        <v>13</v>
      </c>
      <c r="I81" s="625"/>
      <c r="J81" s="269" t="s">
        <v>312</v>
      </c>
      <c r="K81" s="624" t="s">
        <v>8</v>
      </c>
      <c r="L81" s="625"/>
      <c r="M81" s="625"/>
      <c r="N81" s="625"/>
      <c r="O81" s="625"/>
      <c r="P81" s="625"/>
      <c r="Q81" s="625"/>
      <c r="R81" s="626"/>
      <c r="S81" s="624" t="s">
        <v>253</v>
      </c>
      <c r="T81" s="626"/>
      <c r="U81" s="627" t="s">
        <v>315</v>
      </c>
      <c r="V81" s="628"/>
      <c r="W81" s="244"/>
    </row>
    <row r="82" spans="2:24" ht="15" thickBot="1" x14ac:dyDescent="0.35">
      <c r="B82" s="616" t="s">
        <v>268</v>
      </c>
      <c r="C82" s="584"/>
      <c r="D82" s="584"/>
      <c r="E82" s="584"/>
      <c r="F82" s="584"/>
      <c r="G82" s="112"/>
      <c r="H82" s="617"/>
      <c r="I82" s="618"/>
      <c r="J82" s="289"/>
      <c r="K82" s="596"/>
      <c r="L82" s="596"/>
      <c r="M82" s="596"/>
      <c r="N82" s="596"/>
      <c r="O82" s="596"/>
      <c r="P82" s="596"/>
      <c r="Q82" s="596"/>
      <c r="R82" s="596"/>
      <c r="S82" s="596"/>
      <c r="T82" s="708"/>
      <c r="U82" s="709" t="str">
        <f>IF(S82="","",IF(H82="","",ROUND(IF(K82="","",VLOOKUP(H82,'autres ldv'!A$19:B$21,2,FALSE)*S82*VLOOKUP(K82,Pays!A$1:K$261,9,FALSE)/100),2)))</f>
        <v/>
      </c>
      <c r="V82" s="710"/>
      <c r="W82" s="244"/>
      <c r="X82" s="94"/>
    </row>
    <row r="83" spans="2:24" x14ac:dyDescent="0.3">
      <c r="B83" s="600" t="s">
        <v>269</v>
      </c>
      <c r="C83" s="601"/>
      <c r="D83" s="601"/>
      <c r="E83" s="601"/>
      <c r="F83" s="601"/>
      <c r="G83" s="113"/>
      <c r="H83" s="619"/>
      <c r="I83" s="620"/>
      <c r="J83" s="290"/>
      <c r="K83" s="705"/>
      <c r="L83" s="705"/>
      <c r="M83" s="705"/>
      <c r="N83" s="705"/>
      <c r="O83" s="705"/>
      <c r="P83" s="705"/>
      <c r="Q83" s="705"/>
      <c r="R83" s="705"/>
      <c r="S83" s="705"/>
      <c r="T83" s="711"/>
      <c r="U83" s="712" t="str">
        <f>IF(S83="","",IF(H83="","",ROUND(IF(K83="","",VLOOKUP(H83,'autres ldv'!A$19:B$21,2,FALSE)*S83*VLOOKUP(K83,Pays!A$1:K$261,10,FALSE)/100),2)))</f>
        <v/>
      </c>
      <c r="V83" s="713"/>
      <c r="W83" s="244"/>
      <c r="X83" s="94"/>
    </row>
    <row r="84" spans="2:24" ht="5.0999999999999996" customHeight="1" x14ac:dyDescent="0.3">
      <c r="B84" s="36"/>
      <c r="C84" s="36"/>
      <c r="D84" s="36"/>
      <c r="E84" s="47"/>
      <c r="W84" s="244"/>
    </row>
    <row r="85" spans="2:24" ht="15" customHeight="1" x14ac:dyDescent="0.3">
      <c r="B85" s="646" t="s">
        <v>297</v>
      </c>
      <c r="C85" s="647"/>
      <c r="D85" s="647"/>
      <c r="E85" s="647"/>
      <c r="F85" s="647"/>
      <c r="G85" s="647"/>
      <c r="H85" s="647"/>
      <c r="I85" s="647"/>
      <c r="J85" s="647"/>
      <c r="K85" s="648"/>
      <c r="L85" s="268" t="s">
        <v>282</v>
      </c>
      <c r="M85" s="649" t="s">
        <v>256</v>
      </c>
      <c r="N85" s="649"/>
      <c r="O85" s="649" t="s">
        <v>257</v>
      </c>
      <c r="P85" s="649"/>
      <c r="Q85" s="592" t="s">
        <v>414</v>
      </c>
      <c r="R85" s="592"/>
      <c r="S85" s="592" t="s">
        <v>300</v>
      </c>
      <c r="T85" s="592"/>
      <c r="U85" s="649" t="s">
        <v>315</v>
      </c>
      <c r="V85" s="649"/>
      <c r="W85" s="244"/>
    </row>
    <row r="86" spans="2:24" ht="15" customHeight="1" thickBot="1" x14ac:dyDescent="0.35">
      <c r="B86" s="639" t="s">
        <v>1808</v>
      </c>
      <c r="C86" s="640"/>
      <c r="D86" s="640"/>
      <c r="E86" s="640"/>
      <c r="F86" s="640"/>
      <c r="G86" s="640"/>
      <c r="H86" s="640"/>
      <c r="I86" s="640"/>
      <c r="J86" s="640"/>
      <c r="K86" s="640"/>
      <c r="L86" s="291" t="s">
        <v>1807</v>
      </c>
      <c r="M86" s="641">
        <v>45348</v>
      </c>
      <c r="N86" s="641"/>
      <c r="O86" s="642"/>
      <c r="P86" s="642"/>
      <c r="Q86" s="643">
        <v>17.899999999999999</v>
      </c>
      <c r="R86" s="643"/>
      <c r="S86" s="644">
        <v>1</v>
      </c>
      <c r="T86" s="645"/>
      <c r="U86" s="599">
        <f>IF($Q86="","",ROUND($Q86/$S86,2))</f>
        <v>17.899999999999999</v>
      </c>
      <c r="V86" s="599"/>
      <c r="W86" s="244"/>
    </row>
    <row r="87" spans="2:24" ht="15" customHeight="1" thickBot="1" x14ac:dyDescent="0.35">
      <c r="B87" s="489" t="s">
        <v>1809</v>
      </c>
      <c r="C87" s="490"/>
      <c r="D87" s="490"/>
      <c r="E87" s="490"/>
      <c r="F87" s="490"/>
      <c r="G87" s="490"/>
      <c r="H87" s="490"/>
      <c r="I87" s="490"/>
      <c r="J87" s="490"/>
      <c r="K87" s="490"/>
      <c r="L87" s="292" t="s">
        <v>1812</v>
      </c>
      <c r="M87" s="613">
        <v>45351</v>
      </c>
      <c r="N87" s="613"/>
      <c r="O87" s="614"/>
      <c r="P87" s="614"/>
      <c r="Q87" s="615">
        <v>16.899999999999999</v>
      </c>
      <c r="R87" s="615"/>
      <c r="S87" s="610">
        <v>1</v>
      </c>
      <c r="T87" s="611"/>
      <c r="U87" s="612">
        <f>IF($Q87="","",ROUND($Q87/$S87,2))</f>
        <v>16.899999999999999</v>
      </c>
      <c r="V87" s="612"/>
      <c r="W87" s="244"/>
    </row>
    <row r="88" spans="2:24" ht="15" customHeight="1" thickBot="1" x14ac:dyDescent="0.35">
      <c r="B88" s="489" t="s">
        <v>1810</v>
      </c>
      <c r="C88" s="490"/>
      <c r="D88" s="490"/>
      <c r="E88" s="490"/>
      <c r="F88" s="490"/>
      <c r="G88" s="490"/>
      <c r="H88" s="490"/>
      <c r="I88" s="490"/>
      <c r="J88" s="490"/>
      <c r="K88" s="490"/>
      <c r="L88" s="292" t="s">
        <v>1813</v>
      </c>
      <c r="M88" s="613">
        <v>45348</v>
      </c>
      <c r="N88" s="613"/>
      <c r="O88" s="614"/>
      <c r="P88" s="614"/>
      <c r="Q88" s="615">
        <v>4</v>
      </c>
      <c r="R88" s="615"/>
      <c r="S88" s="610">
        <v>1</v>
      </c>
      <c r="T88" s="611"/>
      <c r="U88" s="612">
        <f t="shared" ref="U88:U107" si="13">IF($Q88="","",ROUND($Q88/$S88,2))</f>
        <v>4</v>
      </c>
      <c r="V88" s="612"/>
      <c r="W88" s="244"/>
    </row>
    <row r="89" spans="2:24" ht="15" customHeight="1" thickBot="1" x14ac:dyDescent="0.35">
      <c r="B89" s="489" t="s">
        <v>1811</v>
      </c>
      <c r="C89" s="490"/>
      <c r="D89" s="490"/>
      <c r="E89" s="490"/>
      <c r="F89" s="490"/>
      <c r="G89" s="490"/>
      <c r="H89" s="490"/>
      <c r="I89" s="490"/>
      <c r="J89" s="490"/>
      <c r="K89" s="490"/>
      <c r="L89" s="292" t="s">
        <v>1813</v>
      </c>
      <c r="M89" s="613">
        <v>45351</v>
      </c>
      <c r="N89" s="613"/>
      <c r="O89" s="614"/>
      <c r="P89" s="614"/>
      <c r="Q89" s="615">
        <v>4</v>
      </c>
      <c r="R89" s="615"/>
      <c r="S89" s="610">
        <v>1</v>
      </c>
      <c r="T89" s="611"/>
      <c r="U89" s="612">
        <f t="shared" si="13"/>
        <v>4</v>
      </c>
      <c r="V89" s="612"/>
      <c r="W89" s="244"/>
    </row>
    <row r="90" spans="2:24" ht="15" customHeight="1" thickBot="1" x14ac:dyDescent="0.35">
      <c r="B90" s="489"/>
      <c r="C90" s="490"/>
      <c r="D90" s="490"/>
      <c r="E90" s="490"/>
      <c r="F90" s="490"/>
      <c r="G90" s="490"/>
      <c r="H90" s="490"/>
      <c r="I90" s="490"/>
      <c r="J90" s="490"/>
      <c r="K90" s="490"/>
      <c r="L90" s="292"/>
      <c r="M90" s="613"/>
      <c r="N90" s="613"/>
      <c r="O90" s="614"/>
      <c r="P90" s="614"/>
      <c r="Q90" s="615"/>
      <c r="R90" s="615"/>
      <c r="S90" s="610"/>
      <c r="T90" s="611"/>
      <c r="U90" s="612" t="str">
        <f t="shared" si="13"/>
        <v/>
      </c>
      <c r="V90" s="612"/>
      <c r="W90" s="244"/>
    </row>
    <row r="91" spans="2:24" ht="15" customHeight="1" thickBot="1" x14ac:dyDescent="0.35">
      <c r="B91" s="489"/>
      <c r="C91" s="490"/>
      <c r="D91" s="490"/>
      <c r="E91" s="490"/>
      <c r="F91" s="490"/>
      <c r="G91" s="490"/>
      <c r="H91" s="490"/>
      <c r="I91" s="490"/>
      <c r="J91" s="490"/>
      <c r="K91" s="490"/>
      <c r="L91" s="292"/>
      <c r="M91" s="613"/>
      <c r="N91" s="613"/>
      <c r="O91" s="614"/>
      <c r="P91" s="614"/>
      <c r="Q91" s="615"/>
      <c r="R91" s="615"/>
      <c r="S91" s="610"/>
      <c r="T91" s="611"/>
      <c r="U91" s="612" t="str">
        <f t="shared" si="13"/>
        <v/>
      </c>
      <c r="V91" s="612"/>
      <c r="W91" s="244"/>
    </row>
    <row r="92" spans="2:24" ht="15" customHeight="1" thickBot="1" x14ac:dyDescent="0.35">
      <c r="B92" s="489"/>
      <c r="C92" s="490"/>
      <c r="D92" s="490"/>
      <c r="E92" s="490"/>
      <c r="F92" s="490"/>
      <c r="G92" s="490"/>
      <c r="H92" s="490"/>
      <c r="I92" s="490"/>
      <c r="J92" s="490"/>
      <c r="K92" s="490"/>
      <c r="L92" s="292"/>
      <c r="M92" s="613"/>
      <c r="N92" s="613"/>
      <c r="O92" s="614"/>
      <c r="P92" s="614"/>
      <c r="Q92" s="615"/>
      <c r="R92" s="615"/>
      <c r="S92" s="610"/>
      <c r="T92" s="611"/>
      <c r="U92" s="612" t="str">
        <f t="shared" si="13"/>
        <v/>
      </c>
      <c r="V92" s="612"/>
      <c r="W92" s="244"/>
    </row>
    <row r="93" spans="2:24" ht="15" customHeight="1" thickBot="1" x14ac:dyDescent="0.35">
      <c r="B93" s="489"/>
      <c r="C93" s="490"/>
      <c r="D93" s="490"/>
      <c r="E93" s="490"/>
      <c r="F93" s="490"/>
      <c r="G93" s="490"/>
      <c r="H93" s="490"/>
      <c r="I93" s="490"/>
      <c r="J93" s="490"/>
      <c r="K93" s="490"/>
      <c r="L93" s="292"/>
      <c r="M93" s="613"/>
      <c r="N93" s="613"/>
      <c r="O93" s="614"/>
      <c r="P93" s="614"/>
      <c r="Q93" s="615"/>
      <c r="R93" s="615"/>
      <c r="S93" s="610"/>
      <c r="T93" s="611"/>
      <c r="U93" s="612" t="str">
        <f t="shared" si="13"/>
        <v/>
      </c>
      <c r="V93" s="612"/>
      <c r="W93" s="244"/>
    </row>
    <row r="94" spans="2:24" ht="15" customHeight="1" thickBot="1" x14ac:dyDescent="0.35">
      <c r="B94" s="489"/>
      <c r="C94" s="490"/>
      <c r="D94" s="490"/>
      <c r="E94" s="490"/>
      <c r="F94" s="490"/>
      <c r="G94" s="490"/>
      <c r="H94" s="490"/>
      <c r="I94" s="490"/>
      <c r="J94" s="490"/>
      <c r="K94" s="490"/>
      <c r="L94" s="292"/>
      <c r="M94" s="613"/>
      <c r="N94" s="613"/>
      <c r="O94" s="614"/>
      <c r="P94" s="614"/>
      <c r="Q94" s="615"/>
      <c r="R94" s="615"/>
      <c r="S94" s="610"/>
      <c r="T94" s="611"/>
      <c r="U94" s="612" t="str">
        <f t="shared" si="13"/>
        <v/>
      </c>
      <c r="V94" s="612"/>
      <c r="W94" s="244"/>
    </row>
    <row r="95" spans="2:24" ht="15" customHeight="1" thickBot="1" x14ac:dyDescent="0.35">
      <c r="B95" s="489"/>
      <c r="C95" s="490"/>
      <c r="D95" s="490"/>
      <c r="E95" s="490"/>
      <c r="F95" s="490"/>
      <c r="G95" s="490"/>
      <c r="H95" s="490"/>
      <c r="I95" s="490"/>
      <c r="J95" s="490"/>
      <c r="K95" s="490"/>
      <c r="L95" s="292"/>
      <c r="M95" s="613"/>
      <c r="N95" s="613"/>
      <c r="O95" s="614"/>
      <c r="P95" s="614"/>
      <c r="Q95" s="615"/>
      <c r="R95" s="615"/>
      <c r="S95" s="610"/>
      <c r="T95" s="611"/>
      <c r="U95" s="612" t="str">
        <f t="shared" si="13"/>
        <v/>
      </c>
      <c r="V95" s="612"/>
      <c r="W95" s="244"/>
    </row>
    <row r="96" spans="2:24" ht="15" customHeight="1" thickBot="1" x14ac:dyDescent="0.35">
      <c r="B96" s="489"/>
      <c r="C96" s="490"/>
      <c r="D96" s="490"/>
      <c r="E96" s="490"/>
      <c r="F96" s="490"/>
      <c r="G96" s="490"/>
      <c r="H96" s="490"/>
      <c r="I96" s="490"/>
      <c r="J96" s="490"/>
      <c r="K96" s="490"/>
      <c r="L96" s="292"/>
      <c r="M96" s="613"/>
      <c r="N96" s="613"/>
      <c r="O96" s="614"/>
      <c r="P96" s="614"/>
      <c r="Q96" s="615"/>
      <c r="R96" s="615"/>
      <c r="S96" s="610"/>
      <c r="T96" s="611"/>
      <c r="U96" s="612" t="str">
        <f t="shared" si="13"/>
        <v/>
      </c>
      <c r="V96" s="612"/>
      <c r="W96" s="244"/>
    </row>
    <row r="97" spans="2:23" ht="15" customHeight="1" thickBot="1" x14ac:dyDescent="0.35">
      <c r="B97" s="489"/>
      <c r="C97" s="490"/>
      <c r="D97" s="490"/>
      <c r="E97" s="490"/>
      <c r="F97" s="490"/>
      <c r="G97" s="490"/>
      <c r="H97" s="490"/>
      <c r="I97" s="490"/>
      <c r="J97" s="490"/>
      <c r="K97" s="490"/>
      <c r="L97" s="292"/>
      <c r="M97" s="613"/>
      <c r="N97" s="613"/>
      <c r="O97" s="614"/>
      <c r="P97" s="614"/>
      <c r="Q97" s="615"/>
      <c r="R97" s="615"/>
      <c r="S97" s="610"/>
      <c r="T97" s="611"/>
      <c r="U97" s="612" t="str">
        <f t="shared" si="13"/>
        <v/>
      </c>
      <c r="V97" s="612"/>
      <c r="W97" s="244"/>
    </row>
    <row r="98" spans="2:23" ht="15" customHeight="1" thickBot="1" x14ac:dyDescent="0.35">
      <c r="B98" s="489"/>
      <c r="C98" s="490"/>
      <c r="D98" s="490"/>
      <c r="E98" s="490"/>
      <c r="F98" s="490"/>
      <c r="G98" s="490"/>
      <c r="H98" s="490"/>
      <c r="I98" s="490"/>
      <c r="J98" s="490"/>
      <c r="K98" s="490"/>
      <c r="L98" s="292"/>
      <c r="M98" s="613"/>
      <c r="N98" s="613"/>
      <c r="O98" s="614"/>
      <c r="P98" s="614"/>
      <c r="Q98" s="615"/>
      <c r="R98" s="615"/>
      <c r="S98" s="610"/>
      <c r="T98" s="611"/>
      <c r="U98" s="612" t="str">
        <f t="shared" si="13"/>
        <v/>
      </c>
      <c r="V98" s="612"/>
      <c r="W98" s="244"/>
    </row>
    <row r="99" spans="2:23" ht="15" customHeight="1" thickBot="1" x14ac:dyDescent="0.35">
      <c r="B99" s="489"/>
      <c r="C99" s="490"/>
      <c r="D99" s="490"/>
      <c r="E99" s="490"/>
      <c r="F99" s="490"/>
      <c r="G99" s="490"/>
      <c r="H99" s="490"/>
      <c r="I99" s="490"/>
      <c r="J99" s="490"/>
      <c r="K99" s="490"/>
      <c r="L99" s="292"/>
      <c r="M99" s="613"/>
      <c r="N99" s="613"/>
      <c r="O99" s="614"/>
      <c r="P99" s="614"/>
      <c r="Q99" s="615"/>
      <c r="R99" s="615"/>
      <c r="S99" s="610"/>
      <c r="T99" s="611"/>
      <c r="U99" s="612" t="str">
        <f t="shared" si="13"/>
        <v/>
      </c>
      <c r="V99" s="612"/>
      <c r="W99" s="244"/>
    </row>
    <row r="100" spans="2:23" ht="15" customHeight="1" thickBot="1" x14ac:dyDescent="0.35">
      <c r="B100" s="489"/>
      <c r="C100" s="490"/>
      <c r="D100" s="490"/>
      <c r="E100" s="490"/>
      <c r="F100" s="490"/>
      <c r="G100" s="490"/>
      <c r="H100" s="490"/>
      <c r="I100" s="490"/>
      <c r="J100" s="490"/>
      <c r="K100" s="490"/>
      <c r="L100" s="292"/>
      <c r="M100" s="613"/>
      <c r="N100" s="613"/>
      <c r="O100" s="614"/>
      <c r="P100" s="614"/>
      <c r="Q100" s="615"/>
      <c r="R100" s="615"/>
      <c r="S100" s="610"/>
      <c r="T100" s="611"/>
      <c r="U100" s="612" t="str">
        <f t="shared" si="13"/>
        <v/>
      </c>
      <c r="V100" s="612"/>
      <c r="W100" s="244"/>
    </row>
    <row r="101" spans="2:23" ht="15" customHeight="1" thickBot="1" x14ac:dyDescent="0.35">
      <c r="B101" s="489"/>
      <c r="C101" s="490"/>
      <c r="D101" s="490"/>
      <c r="E101" s="490"/>
      <c r="F101" s="490"/>
      <c r="G101" s="490"/>
      <c r="H101" s="490"/>
      <c r="I101" s="490"/>
      <c r="J101" s="490"/>
      <c r="K101" s="490"/>
      <c r="L101" s="292"/>
      <c r="M101" s="613"/>
      <c r="N101" s="613"/>
      <c r="O101" s="614"/>
      <c r="P101" s="614"/>
      <c r="Q101" s="615"/>
      <c r="R101" s="615"/>
      <c r="S101" s="610"/>
      <c r="T101" s="611"/>
      <c r="U101" s="612" t="str">
        <f t="shared" si="13"/>
        <v/>
      </c>
      <c r="V101" s="612"/>
      <c r="W101" s="244"/>
    </row>
    <row r="102" spans="2:23" ht="15" customHeight="1" thickBot="1" x14ac:dyDescent="0.35">
      <c r="B102" s="489"/>
      <c r="C102" s="490"/>
      <c r="D102" s="490"/>
      <c r="E102" s="490"/>
      <c r="F102" s="490"/>
      <c r="G102" s="490"/>
      <c r="H102" s="490"/>
      <c r="I102" s="490"/>
      <c r="J102" s="490"/>
      <c r="K102" s="490"/>
      <c r="L102" s="292"/>
      <c r="M102" s="613"/>
      <c r="N102" s="613"/>
      <c r="O102" s="614"/>
      <c r="P102" s="614"/>
      <c r="Q102" s="615"/>
      <c r="R102" s="615"/>
      <c r="S102" s="610"/>
      <c r="T102" s="611"/>
      <c r="U102" s="612" t="str">
        <f t="shared" si="13"/>
        <v/>
      </c>
      <c r="V102" s="612"/>
      <c r="W102" s="244"/>
    </row>
    <row r="103" spans="2:23" ht="15" customHeight="1" thickBot="1" x14ac:dyDescent="0.35">
      <c r="B103" s="489"/>
      <c r="C103" s="490"/>
      <c r="D103" s="490"/>
      <c r="E103" s="490"/>
      <c r="F103" s="490"/>
      <c r="G103" s="490"/>
      <c r="H103" s="490"/>
      <c r="I103" s="490"/>
      <c r="J103" s="490"/>
      <c r="K103" s="490"/>
      <c r="L103" s="292"/>
      <c r="M103" s="613"/>
      <c r="N103" s="613"/>
      <c r="O103" s="614"/>
      <c r="P103" s="614"/>
      <c r="Q103" s="615"/>
      <c r="R103" s="615"/>
      <c r="S103" s="610"/>
      <c r="T103" s="611"/>
      <c r="U103" s="612" t="str">
        <f t="shared" si="13"/>
        <v/>
      </c>
      <c r="V103" s="612"/>
      <c r="W103" s="244"/>
    </row>
    <row r="104" spans="2:23" ht="15" customHeight="1" thickBot="1" x14ac:dyDescent="0.35">
      <c r="B104" s="489"/>
      <c r="C104" s="490"/>
      <c r="D104" s="490"/>
      <c r="E104" s="490"/>
      <c r="F104" s="490"/>
      <c r="G104" s="490"/>
      <c r="H104" s="490"/>
      <c r="I104" s="490"/>
      <c r="J104" s="490"/>
      <c r="K104" s="490"/>
      <c r="L104" s="292"/>
      <c r="M104" s="613"/>
      <c r="N104" s="613"/>
      <c r="O104" s="614"/>
      <c r="P104" s="614"/>
      <c r="Q104" s="615"/>
      <c r="R104" s="615"/>
      <c r="S104" s="610"/>
      <c r="T104" s="611"/>
      <c r="U104" s="612" t="str">
        <f t="shared" si="13"/>
        <v/>
      </c>
      <c r="V104" s="612"/>
      <c r="W104" s="244"/>
    </row>
    <row r="105" spans="2:23" ht="15" customHeight="1" thickBot="1" x14ac:dyDescent="0.35">
      <c r="B105" s="489"/>
      <c r="C105" s="490"/>
      <c r="D105" s="490"/>
      <c r="E105" s="490"/>
      <c r="F105" s="490"/>
      <c r="G105" s="490"/>
      <c r="H105" s="490"/>
      <c r="I105" s="490"/>
      <c r="J105" s="490"/>
      <c r="K105" s="490"/>
      <c r="L105" s="292"/>
      <c r="M105" s="613"/>
      <c r="N105" s="613"/>
      <c r="O105" s="614"/>
      <c r="P105" s="614"/>
      <c r="Q105" s="615"/>
      <c r="R105" s="615"/>
      <c r="S105" s="610"/>
      <c r="T105" s="611"/>
      <c r="U105" s="612" t="str">
        <f t="shared" si="13"/>
        <v/>
      </c>
      <c r="V105" s="612"/>
      <c r="W105" s="244"/>
    </row>
    <row r="106" spans="2:23" ht="15" customHeight="1" thickBot="1" x14ac:dyDescent="0.35">
      <c r="B106" s="489"/>
      <c r="C106" s="490"/>
      <c r="D106" s="490"/>
      <c r="E106" s="490"/>
      <c r="F106" s="490"/>
      <c r="G106" s="490"/>
      <c r="H106" s="490"/>
      <c r="I106" s="490"/>
      <c r="J106" s="490"/>
      <c r="K106" s="490"/>
      <c r="L106" s="292"/>
      <c r="M106" s="613"/>
      <c r="N106" s="613"/>
      <c r="O106" s="614"/>
      <c r="P106" s="614"/>
      <c r="Q106" s="615"/>
      <c r="R106" s="615"/>
      <c r="S106" s="610"/>
      <c r="T106" s="611"/>
      <c r="U106" s="612" t="str">
        <f t="shared" si="13"/>
        <v/>
      </c>
      <c r="V106" s="612"/>
      <c r="W106" s="244"/>
    </row>
    <row r="107" spans="2:23" ht="15" customHeight="1" thickBot="1" x14ac:dyDescent="0.35">
      <c r="B107" s="489"/>
      <c r="C107" s="490"/>
      <c r="D107" s="490"/>
      <c r="E107" s="490"/>
      <c r="F107" s="490"/>
      <c r="G107" s="490"/>
      <c r="H107" s="490"/>
      <c r="I107" s="490"/>
      <c r="J107" s="490"/>
      <c r="K107" s="490"/>
      <c r="L107" s="292"/>
      <c r="M107" s="613"/>
      <c r="N107" s="613"/>
      <c r="O107" s="614"/>
      <c r="P107" s="614"/>
      <c r="Q107" s="615"/>
      <c r="R107" s="615"/>
      <c r="S107" s="610"/>
      <c r="T107" s="611"/>
      <c r="U107" s="612" t="str">
        <f t="shared" si="13"/>
        <v/>
      </c>
      <c r="V107" s="612"/>
      <c r="W107" s="244"/>
    </row>
    <row r="108" spans="2:23" ht="15" customHeight="1" x14ac:dyDescent="0.3">
      <c r="B108" s="716"/>
      <c r="C108" s="717"/>
      <c r="D108" s="717"/>
      <c r="E108" s="717"/>
      <c r="F108" s="717"/>
      <c r="G108" s="717"/>
      <c r="H108" s="717"/>
      <c r="I108" s="717"/>
      <c r="J108" s="717"/>
      <c r="K108" s="717"/>
      <c r="L108" s="290"/>
      <c r="M108" s="715"/>
      <c r="N108" s="715"/>
      <c r="O108" s="705"/>
      <c r="P108" s="705"/>
      <c r="Q108" s="563"/>
      <c r="R108" s="563"/>
      <c r="S108" s="706"/>
      <c r="T108" s="707"/>
      <c r="U108" s="668" t="str">
        <f>IF($Q108="","",ROUND($Q108/$S108,2))</f>
        <v/>
      </c>
      <c r="V108" s="668"/>
      <c r="W108" s="244"/>
    </row>
    <row r="109" spans="2:23" ht="15" customHeight="1" x14ac:dyDescent="0.3"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140"/>
      <c r="M109" s="133"/>
      <c r="N109" s="133"/>
      <c r="O109" s="26"/>
      <c r="P109" s="26"/>
      <c r="Q109" s="134"/>
      <c r="R109" s="134"/>
      <c r="S109" s="134"/>
      <c r="T109" s="134"/>
      <c r="U109" s="137"/>
      <c r="V109" s="137"/>
      <c r="W109" s="244"/>
    </row>
    <row r="110" spans="2:23" ht="15" customHeight="1" x14ac:dyDescent="0.3"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140"/>
      <c r="M110" s="133"/>
      <c r="N110" s="133"/>
      <c r="O110" s="26"/>
      <c r="P110" s="26"/>
      <c r="Q110" s="134"/>
      <c r="R110" s="134"/>
      <c r="S110" s="134"/>
      <c r="T110" s="134"/>
      <c r="U110" s="137"/>
      <c r="V110" s="137"/>
      <c r="W110" s="244"/>
    </row>
    <row r="111" spans="2:23" ht="5.0999999999999996" customHeight="1" x14ac:dyDescent="0.3">
      <c r="B111" s="111"/>
      <c r="C111" s="111"/>
      <c r="D111" s="111"/>
      <c r="E111" s="114"/>
      <c r="F111" s="111"/>
      <c r="G111" s="26"/>
      <c r="H111" s="26"/>
      <c r="I111" s="26"/>
      <c r="J111" s="26"/>
      <c r="K111" s="26"/>
      <c r="L111" s="115"/>
      <c r="W111" s="244"/>
    </row>
    <row r="112" spans="2:23" ht="15" customHeight="1" x14ac:dyDescent="0.3">
      <c r="B112" s="262" t="s">
        <v>303</v>
      </c>
      <c r="C112" s="263"/>
      <c r="D112" s="263"/>
      <c r="E112" s="263"/>
      <c r="F112" s="263"/>
      <c r="G112" s="263"/>
      <c r="H112" s="263"/>
      <c r="I112" s="263"/>
      <c r="J112" s="263"/>
      <c r="K112" s="263"/>
      <c r="L112" s="263"/>
      <c r="M112" s="263"/>
      <c r="N112" s="263"/>
      <c r="O112" s="263"/>
      <c r="P112" s="263"/>
      <c r="Q112" s="263"/>
      <c r="R112" s="263"/>
      <c r="S112" s="263"/>
      <c r="T112" s="264" t="s">
        <v>249</v>
      </c>
      <c r="U112" s="714">
        <f>SUM(U114:V141)</f>
        <v>0</v>
      </c>
      <c r="V112" s="576"/>
      <c r="W112" s="245"/>
    </row>
    <row r="113" spans="2:23" ht="15" customHeight="1" x14ac:dyDescent="0.3">
      <c r="B113" s="496" t="s">
        <v>254</v>
      </c>
      <c r="C113" s="581"/>
      <c r="D113" s="581"/>
      <c r="E113" s="581"/>
      <c r="F113" s="581"/>
      <c r="G113" s="581"/>
      <c r="H113" s="497"/>
      <c r="I113" s="172" t="s">
        <v>520</v>
      </c>
      <c r="J113" s="496" t="s">
        <v>487</v>
      </c>
      <c r="K113" s="497"/>
      <c r="L113" s="86" t="s">
        <v>257</v>
      </c>
      <c r="M113" s="496" t="s">
        <v>522</v>
      </c>
      <c r="N113" s="497"/>
      <c r="O113" s="496" t="s">
        <v>523</v>
      </c>
      <c r="P113" s="497"/>
      <c r="Q113" s="496" t="s">
        <v>521</v>
      </c>
      <c r="R113" s="497"/>
      <c r="S113" s="537" t="s">
        <v>300</v>
      </c>
      <c r="T113" s="537"/>
      <c r="U113" s="580" t="s">
        <v>315</v>
      </c>
      <c r="V113" s="580"/>
      <c r="W113" s="244"/>
    </row>
    <row r="114" spans="2:23" ht="15" customHeight="1" thickBot="1" x14ac:dyDescent="0.35">
      <c r="B114" s="690"/>
      <c r="C114" s="691"/>
      <c r="D114" s="691"/>
      <c r="E114" s="691"/>
      <c r="F114" s="691"/>
      <c r="G114" s="691"/>
      <c r="H114" s="692"/>
      <c r="I114" s="293"/>
      <c r="J114" s="498"/>
      <c r="K114" s="499"/>
      <c r="L114" s="259"/>
      <c r="M114" s="651"/>
      <c r="N114" s="651"/>
      <c r="O114" s="650"/>
      <c r="P114" s="650"/>
      <c r="Q114" s="651"/>
      <c r="R114" s="651"/>
      <c r="S114" s="652"/>
      <c r="T114" s="653"/>
      <c r="U114" s="599" t="str">
        <f>IF($Q114="","",ROUND($Q114/$S114,2))</f>
        <v/>
      </c>
      <c r="V114" s="599"/>
      <c r="W114" s="244"/>
    </row>
    <row r="115" spans="2:23" ht="15" customHeight="1" thickBot="1" x14ac:dyDescent="0.35">
      <c r="B115" s="690"/>
      <c r="C115" s="691"/>
      <c r="D115" s="691"/>
      <c r="E115" s="691"/>
      <c r="F115" s="691"/>
      <c r="G115" s="691"/>
      <c r="H115" s="692"/>
      <c r="I115" s="293"/>
      <c r="J115" s="485"/>
      <c r="K115" s="486"/>
      <c r="L115" s="257"/>
      <c r="M115" s="651"/>
      <c r="N115" s="651"/>
      <c r="O115" s="650"/>
      <c r="P115" s="650"/>
      <c r="Q115" s="651"/>
      <c r="R115" s="651"/>
      <c r="S115" s="652"/>
      <c r="T115" s="653"/>
      <c r="U115" s="612" t="str">
        <f>IF($Q115="","",ROUND($Q115/$S115,2))</f>
        <v/>
      </c>
      <c r="V115" s="612"/>
      <c r="W115" s="244"/>
    </row>
    <row r="116" spans="2:23" ht="15" customHeight="1" thickBot="1" x14ac:dyDescent="0.35">
      <c r="B116" s="690"/>
      <c r="C116" s="691"/>
      <c r="D116" s="691"/>
      <c r="E116" s="691"/>
      <c r="F116" s="691"/>
      <c r="G116" s="691"/>
      <c r="H116" s="692"/>
      <c r="I116" s="293"/>
      <c r="J116" s="485"/>
      <c r="K116" s="486"/>
      <c r="L116" s="260"/>
      <c r="M116" s="651"/>
      <c r="N116" s="651"/>
      <c r="O116" s="650"/>
      <c r="P116" s="650"/>
      <c r="Q116" s="651"/>
      <c r="R116" s="651"/>
      <c r="S116" s="652"/>
      <c r="T116" s="653"/>
      <c r="U116" s="612" t="str">
        <f t="shared" ref="U116:U140" si="14">IF($Q116="","",ROUND($Q116/$S116,2))</f>
        <v/>
      </c>
      <c r="V116" s="612"/>
      <c r="W116" s="244"/>
    </row>
    <row r="117" spans="2:23" ht="15" customHeight="1" thickBot="1" x14ac:dyDescent="0.35">
      <c r="B117" s="690"/>
      <c r="C117" s="691"/>
      <c r="D117" s="691"/>
      <c r="E117" s="691"/>
      <c r="F117" s="691"/>
      <c r="G117" s="691"/>
      <c r="H117" s="692"/>
      <c r="I117" s="293"/>
      <c r="J117" s="485"/>
      <c r="K117" s="486"/>
      <c r="L117" s="261"/>
      <c r="M117" s="651"/>
      <c r="N117" s="651"/>
      <c r="O117" s="650"/>
      <c r="P117" s="650"/>
      <c r="Q117" s="651"/>
      <c r="R117" s="651"/>
      <c r="S117" s="652"/>
      <c r="T117" s="653"/>
      <c r="U117" s="612" t="str">
        <f t="shared" si="14"/>
        <v/>
      </c>
      <c r="V117" s="612"/>
      <c r="W117" s="244"/>
    </row>
    <row r="118" spans="2:23" ht="15" customHeight="1" thickBot="1" x14ac:dyDescent="0.35">
      <c r="B118" s="690"/>
      <c r="C118" s="691"/>
      <c r="D118" s="691"/>
      <c r="E118" s="691"/>
      <c r="F118" s="691"/>
      <c r="G118" s="691"/>
      <c r="H118" s="692"/>
      <c r="I118" s="293"/>
      <c r="J118" s="485"/>
      <c r="K118" s="486"/>
      <c r="L118" s="261"/>
      <c r="M118" s="651"/>
      <c r="N118" s="651"/>
      <c r="O118" s="650"/>
      <c r="P118" s="650"/>
      <c r="Q118" s="651"/>
      <c r="R118" s="651"/>
      <c r="S118" s="652"/>
      <c r="T118" s="653"/>
      <c r="U118" s="612" t="str">
        <f t="shared" si="14"/>
        <v/>
      </c>
      <c r="V118" s="612"/>
      <c r="W118" s="244"/>
    </row>
    <row r="119" spans="2:23" ht="15" customHeight="1" thickBot="1" x14ac:dyDescent="0.35">
      <c r="B119" s="690"/>
      <c r="C119" s="691"/>
      <c r="D119" s="691"/>
      <c r="E119" s="691"/>
      <c r="F119" s="691"/>
      <c r="G119" s="691"/>
      <c r="H119" s="692"/>
      <c r="I119" s="293"/>
      <c r="J119" s="485"/>
      <c r="K119" s="486"/>
      <c r="L119" s="261"/>
      <c r="M119" s="651"/>
      <c r="N119" s="651"/>
      <c r="O119" s="650"/>
      <c r="P119" s="650"/>
      <c r="Q119" s="651"/>
      <c r="R119" s="651"/>
      <c r="S119" s="652"/>
      <c r="T119" s="653"/>
      <c r="U119" s="612" t="str">
        <f t="shared" si="14"/>
        <v/>
      </c>
      <c r="V119" s="612"/>
      <c r="W119" s="244"/>
    </row>
    <row r="120" spans="2:23" ht="15" customHeight="1" thickBot="1" x14ac:dyDescent="0.35">
      <c r="B120" s="690"/>
      <c r="C120" s="691"/>
      <c r="D120" s="691"/>
      <c r="E120" s="691"/>
      <c r="F120" s="691"/>
      <c r="G120" s="691"/>
      <c r="H120" s="692"/>
      <c r="I120" s="293"/>
      <c r="J120" s="485"/>
      <c r="K120" s="486"/>
      <c r="L120" s="261"/>
      <c r="M120" s="651"/>
      <c r="N120" s="651"/>
      <c r="O120" s="650"/>
      <c r="P120" s="650"/>
      <c r="Q120" s="651"/>
      <c r="R120" s="651"/>
      <c r="S120" s="652"/>
      <c r="T120" s="653"/>
      <c r="U120" s="612" t="str">
        <f t="shared" si="14"/>
        <v/>
      </c>
      <c r="V120" s="612"/>
      <c r="W120" s="244"/>
    </row>
    <row r="121" spans="2:23" ht="15" customHeight="1" thickBot="1" x14ac:dyDescent="0.35">
      <c r="B121" s="690"/>
      <c r="C121" s="691"/>
      <c r="D121" s="691"/>
      <c r="E121" s="691"/>
      <c r="F121" s="691"/>
      <c r="G121" s="691"/>
      <c r="H121" s="692"/>
      <c r="I121" s="293"/>
      <c r="J121" s="485"/>
      <c r="K121" s="486"/>
      <c r="L121" s="261"/>
      <c r="M121" s="651"/>
      <c r="N121" s="651"/>
      <c r="O121" s="650"/>
      <c r="P121" s="650"/>
      <c r="Q121" s="651"/>
      <c r="R121" s="651"/>
      <c r="S121" s="652"/>
      <c r="T121" s="653"/>
      <c r="U121" s="612" t="str">
        <f t="shared" si="14"/>
        <v/>
      </c>
      <c r="V121" s="612"/>
      <c r="W121" s="244"/>
    </row>
    <row r="122" spans="2:23" ht="15" customHeight="1" thickBot="1" x14ac:dyDescent="0.35">
      <c r="B122" s="690"/>
      <c r="C122" s="691"/>
      <c r="D122" s="691"/>
      <c r="E122" s="691"/>
      <c r="F122" s="691"/>
      <c r="G122" s="691"/>
      <c r="H122" s="692"/>
      <c r="I122" s="293"/>
      <c r="J122" s="485"/>
      <c r="K122" s="486"/>
      <c r="L122" s="261"/>
      <c r="M122" s="651"/>
      <c r="N122" s="651"/>
      <c r="O122" s="650"/>
      <c r="P122" s="650"/>
      <c r="Q122" s="651"/>
      <c r="R122" s="651"/>
      <c r="S122" s="652"/>
      <c r="T122" s="653"/>
      <c r="U122" s="612" t="str">
        <f t="shared" si="14"/>
        <v/>
      </c>
      <c r="V122" s="612"/>
      <c r="W122" s="244"/>
    </row>
    <row r="123" spans="2:23" ht="15" customHeight="1" thickBot="1" x14ac:dyDescent="0.35">
      <c r="B123" s="690"/>
      <c r="C123" s="691"/>
      <c r="D123" s="691"/>
      <c r="E123" s="691"/>
      <c r="F123" s="691"/>
      <c r="G123" s="691"/>
      <c r="H123" s="692"/>
      <c r="I123" s="293"/>
      <c r="J123" s="485"/>
      <c r="K123" s="486"/>
      <c r="L123" s="261"/>
      <c r="M123" s="651"/>
      <c r="N123" s="651"/>
      <c r="O123" s="650"/>
      <c r="P123" s="650"/>
      <c r="Q123" s="651"/>
      <c r="R123" s="651"/>
      <c r="S123" s="652"/>
      <c r="T123" s="653"/>
      <c r="U123" s="612" t="str">
        <f t="shared" si="14"/>
        <v/>
      </c>
      <c r="V123" s="612"/>
      <c r="W123" s="244"/>
    </row>
    <row r="124" spans="2:23" ht="15" customHeight="1" thickBot="1" x14ac:dyDescent="0.35">
      <c r="B124" s="690"/>
      <c r="C124" s="691"/>
      <c r="D124" s="691"/>
      <c r="E124" s="691"/>
      <c r="F124" s="691"/>
      <c r="G124" s="691"/>
      <c r="H124" s="692"/>
      <c r="I124" s="293"/>
      <c r="J124" s="485"/>
      <c r="K124" s="486"/>
      <c r="L124" s="261"/>
      <c r="M124" s="651"/>
      <c r="N124" s="651"/>
      <c r="O124" s="650"/>
      <c r="P124" s="650"/>
      <c r="Q124" s="651"/>
      <c r="R124" s="651"/>
      <c r="S124" s="652"/>
      <c r="T124" s="653"/>
      <c r="U124" s="612" t="str">
        <f t="shared" si="14"/>
        <v/>
      </c>
      <c r="V124" s="612"/>
      <c r="W124" s="244"/>
    </row>
    <row r="125" spans="2:23" ht="15" customHeight="1" thickBot="1" x14ac:dyDescent="0.35">
      <c r="B125" s="690"/>
      <c r="C125" s="691"/>
      <c r="D125" s="691"/>
      <c r="E125" s="691"/>
      <c r="F125" s="691"/>
      <c r="G125" s="691"/>
      <c r="H125" s="692"/>
      <c r="I125" s="293"/>
      <c r="J125" s="485"/>
      <c r="K125" s="486"/>
      <c r="L125" s="261"/>
      <c r="M125" s="651"/>
      <c r="N125" s="651"/>
      <c r="O125" s="650"/>
      <c r="P125" s="650"/>
      <c r="Q125" s="651"/>
      <c r="R125" s="651"/>
      <c r="S125" s="652"/>
      <c r="T125" s="653"/>
      <c r="U125" s="612" t="str">
        <f t="shared" si="14"/>
        <v/>
      </c>
      <c r="V125" s="612"/>
      <c r="W125" s="244"/>
    </row>
    <row r="126" spans="2:23" ht="15" customHeight="1" thickBot="1" x14ac:dyDescent="0.35">
      <c r="B126" s="690"/>
      <c r="C126" s="691"/>
      <c r="D126" s="691"/>
      <c r="E126" s="691"/>
      <c r="F126" s="691"/>
      <c r="G126" s="691"/>
      <c r="H126" s="692"/>
      <c r="I126" s="293"/>
      <c r="J126" s="485"/>
      <c r="K126" s="486"/>
      <c r="L126" s="261"/>
      <c r="M126" s="651"/>
      <c r="N126" s="651"/>
      <c r="O126" s="650"/>
      <c r="P126" s="650"/>
      <c r="Q126" s="651"/>
      <c r="R126" s="651"/>
      <c r="S126" s="652"/>
      <c r="T126" s="653"/>
      <c r="U126" s="612" t="str">
        <f t="shared" si="14"/>
        <v/>
      </c>
      <c r="V126" s="612"/>
      <c r="W126" s="244"/>
    </row>
    <row r="127" spans="2:23" ht="15" customHeight="1" thickBot="1" x14ac:dyDescent="0.35">
      <c r="B127" s="690"/>
      <c r="C127" s="691"/>
      <c r="D127" s="691"/>
      <c r="E127" s="691"/>
      <c r="F127" s="691"/>
      <c r="G127" s="691"/>
      <c r="H127" s="692"/>
      <c r="I127" s="293"/>
      <c r="J127" s="485"/>
      <c r="K127" s="486"/>
      <c r="L127" s="261"/>
      <c r="M127" s="651"/>
      <c r="N127" s="651"/>
      <c r="O127" s="650"/>
      <c r="P127" s="650"/>
      <c r="Q127" s="651"/>
      <c r="R127" s="651"/>
      <c r="S127" s="652"/>
      <c r="T127" s="653"/>
      <c r="U127" s="612" t="str">
        <f t="shared" si="14"/>
        <v/>
      </c>
      <c r="V127" s="612"/>
      <c r="W127" s="244"/>
    </row>
    <row r="128" spans="2:23" ht="15" customHeight="1" thickBot="1" x14ac:dyDescent="0.35">
      <c r="B128" s="690"/>
      <c r="C128" s="691"/>
      <c r="D128" s="691"/>
      <c r="E128" s="691"/>
      <c r="F128" s="691"/>
      <c r="G128" s="691"/>
      <c r="H128" s="692"/>
      <c r="I128" s="293"/>
      <c r="J128" s="485"/>
      <c r="K128" s="486"/>
      <c r="L128" s="261"/>
      <c r="M128" s="651"/>
      <c r="N128" s="651"/>
      <c r="O128" s="650"/>
      <c r="P128" s="650"/>
      <c r="Q128" s="651"/>
      <c r="R128" s="651"/>
      <c r="S128" s="652"/>
      <c r="T128" s="653"/>
      <c r="U128" s="612" t="str">
        <f t="shared" si="14"/>
        <v/>
      </c>
      <c r="V128" s="612"/>
      <c r="W128" s="244"/>
    </row>
    <row r="129" spans="2:23" ht="15" customHeight="1" thickBot="1" x14ac:dyDescent="0.35">
      <c r="B129" s="690"/>
      <c r="C129" s="691"/>
      <c r="D129" s="691"/>
      <c r="E129" s="691"/>
      <c r="F129" s="691"/>
      <c r="G129" s="691"/>
      <c r="H129" s="692"/>
      <c r="I129" s="293"/>
      <c r="J129" s="485"/>
      <c r="K129" s="486"/>
      <c r="L129" s="261"/>
      <c r="M129" s="651"/>
      <c r="N129" s="651"/>
      <c r="O129" s="650"/>
      <c r="P129" s="650"/>
      <c r="Q129" s="651"/>
      <c r="R129" s="651"/>
      <c r="S129" s="652"/>
      <c r="T129" s="653"/>
      <c r="U129" s="612" t="str">
        <f t="shared" si="14"/>
        <v/>
      </c>
      <c r="V129" s="612"/>
      <c r="W129" s="244"/>
    </row>
    <row r="130" spans="2:23" ht="15" customHeight="1" thickBot="1" x14ac:dyDescent="0.35">
      <c r="B130" s="690"/>
      <c r="C130" s="691"/>
      <c r="D130" s="691"/>
      <c r="E130" s="691"/>
      <c r="F130" s="691"/>
      <c r="G130" s="691"/>
      <c r="H130" s="692"/>
      <c r="I130" s="293"/>
      <c r="J130" s="485"/>
      <c r="K130" s="486"/>
      <c r="L130" s="261"/>
      <c r="M130" s="651"/>
      <c r="N130" s="651"/>
      <c r="O130" s="650"/>
      <c r="P130" s="650"/>
      <c r="Q130" s="651"/>
      <c r="R130" s="651"/>
      <c r="S130" s="652"/>
      <c r="T130" s="653"/>
      <c r="U130" s="612" t="str">
        <f t="shared" si="14"/>
        <v/>
      </c>
      <c r="V130" s="612"/>
      <c r="W130" s="244"/>
    </row>
    <row r="131" spans="2:23" ht="15" customHeight="1" thickBot="1" x14ac:dyDescent="0.35">
      <c r="B131" s="690"/>
      <c r="C131" s="691"/>
      <c r="D131" s="691"/>
      <c r="E131" s="691"/>
      <c r="F131" s="691"/>
      <c r="G131" s="691"/>
      <c r="H131" s="692"/>
      <c r="I131" s="293"/>
      <c r="J131" s="485"/>
      <c r="K131" s="486"/>
      <c r="L131" s="261"/>
      <c r="M131" s="651"/>
      <c r="N131" s="651"/>
      <c r="O131" s="650"/>
      <c r="P131" s="650"/>
      <c r="Q131" s="651"/>
      <c r="R131" s="651"/>
      <c r="S131" s="652"/>
      <c r="T131" s="653"/>
      <c r="U131" s="612" t="str">
        <f t="shared" si="14"/>
        <v/>
      </c>
      <c r="V131" s="612"/>
      <c r="W131" s="244"/>
    </row>
    <row r="132" spans="2:23" ht="15" customHeight="1" thickBot="1" x14ac:dyDescent="0.35">
      <c r="B132" s="690"/>
      <c r="C132" s="691"/>
      <c r="D132" s="691"/>
      <c r="E132" s="691"/>
      <c r="F132" s="691"/>
      <c r="G132" s="691"/>
      <c r="H132" s="692"/>
      <c r="I132" s="293"/>
      <c r="J132" s="485"/>
      <c r="K132" s="486"/>
      <c r="L132" s="261"/>
      <c r="M132" s="651"/>
      <c r="N132" s="651"/>
      <c r="O132" s="650"/>
      <c r="P132" s="650"/>
      <c r="Q132" s="651"/>
      <c r="R132" s="651"/>
      <c r="S132" s="652"/>
      <c r="T132" s="653"/>
      <c r="U132" s="612" t="str">
        <f t="shared" si="14"/>
        <v/>
      </c>
      <c r="V132" s="612"/>
      <c r="W132" s="244"/>
    </row>
    <row r="133" spans="2:23" ht="15" customHeight="1" thickBot="1" x14ac:dyDescent="0.35">
      <c r="B133" s="690"/>
      <c r="C133" s="691"/>
      <c r="D133" s="691"/>
      <c r="E133" s="691"/>
      <c r="F133" s="691"/>
      <c r="G133" s="691"/>
      <c r="H133" s="692"/>
      <c r="I133" s="293"/>
      <c r="J133" s="485"/>
      <c r="K133" s="486"/>
      <c r="L133" s="261"/>
      <c r="M133" s="651"/>
      <c r="N133" s="651"/>
      <c r="O133" s="650"/>
      <c r="P133" s="650"/>
      <c r="Q133" s="651"/>
      <c r="R133" s="651"/>
      <c r="S133" s="652"/>
      <c r="T133" s="653"/>
      <c r="U133" s="612" t="str">
        <f t="shared" si="14"/>
        <v/>
      </c>
      <c r="V133" s="612"/>
      <c r="W133" s="244"/>
    </row>
    <row r="134" spans="2:23" ht="15" customHeight="1" thickBot="1" x14ac:dyDescent="0.35">
      <c r="B134" s="690"/>
      <c r="C134" s="691"/>
      <c r="D134" s="691"/>
      <c r="E134" s="691"/>
      <c r="F134" s="691"/>
      <c r="G134" s="691"/>
      <c r="H134" s="692"/>
      <c r="I134" s="293"/>
      <c r="J134" s="485"/>
      <c r="K134" s="486"/>
      <c r="L134" s="261"/>
      <c r="M134" s="651"/>
      <c r="N134" s="651"/>
      <c r="O134" s="650"/>
      <c r="P134" s="650"/>
      <c r="Q134" s="651"/>
      <c r="R134" s="651"/>
      <c r="S134" s="652"/>
      <c r="T134" s="653"/>
      <c r="U134" s="612" t="str">
        <f t="shared" si="14"/>
        <v/>
      </c>
      <c r="V134" s="612"/>
      <c r="W134" s="244"/>
    </row>
    <row r="135" spans="2:23" ht="15" customHeight="1" thickBot="1" x14ac:dyDescent="0.35">
      <c r="B135" s="690"/>
      <c r="C135" s="691"/>
      <c r="D135" s="691"/>
      <c r="E135" s="691"/>
      <c r="F135" s="691"/>
      <c r="G135" s="691"/>
      <c r="H135" s="692"/>
      <c r="I135" s="293"/>
      <c r="J135" s="485"/>
      <c r="K135" s="486"/>
      <c r="L135" s="261"/>
      <c r="M135" s="651"/>
      <c r="N135" s="651"/>
      <c r="O135" s="650"/>
      <c r="P135" s="650"/>
      <c r="Q135" s="651"/>
      <c r="R135" s="651"/>
      <c r="S135" s="652"/>
      <c r="T135" s="653"/>
      <c r="U135" s="612" t="str">
        <f t="shared" si="14"/>
        <v/>
      </c>
      <c r="V135" s="612"/>
      <c r="W135" s="244"/>
    </row>
    <row r="136" spans="2:23" ht="15" customHeight="1" thickBot="1" x14ac:dyDescent="0.35">
      <c r="B136" s="690"/>
      <c r="C136" s="691"/>
      <c r="D136" s="691"/>
      <c r="E136" s="691"/>
      <c r="F136" s="691"/>
      <c r="G136" s="691"/>
      <c r="H136" s="692"/>
      <c r="I136" s="293"/>
      <c r="J136" s="485"/>
      <c r="K136" s="486"/>
      <c r="L136" s="261"/>
      <c r="M136" s="651"/>
      <c r="N136" s="651"/>
      <c r="O136" s="650"/>
      <c r="P136" s="650"/>
      <c r="Q136" s="651"/>
      <c r="R136" s="651"/>
      <c r="S136" s="652"/>
      <c r="T136" s="653"/>
      <c r="U136" s="612" t="str">
        <f t="shared" si="14"/>
        <v/>
      </c>
      <c r="V136" s="612"/>
      <c r="W136" s="244"/>
    </row>
    <row r="137" spans="2:23" ht="15" customHeight="1" thickBot="1" x14ac:dyDescent="0.35">
      <c r="B137" s="690"/>
      <c r="C137" s="691"/>
      <c r="D137" s="691"/>
      <c r="E137" s="691"/>
      <c r="F137" s="691"/>
      <c r="G137" s="691"/>
      <c r="H137" s="692"/>
      <c r="I137" s="293"/>
      <c r="J137" s="485"/>
      <c r="K137" s="486"/>
      <c r="L137" s="261"/>
      <c r="M137" s="651"/>
      <c r="N137" s="651"/>
      <c r="O137" s="650"/>
      <c r="P137" s="650"/>
      <c r="Q137" s="651"/>
      <c r="R137" s="651"/>
      <c r="S137" s="652"/>
      <c r="T137" s="653"/>
      <c r="U137" s="612" t="str">
        <f t="shared" si="14"/>
        <v/>
      </c>
      <c r="V137" s="612"/>
      <c r="W137" s="244"/>
    </row>
    <row r="138" spans="2:23" ht="15" customHeight="1" thickBot="1" x14ac:dyDescent="0.35">
      <c r="B138" s="690"/>
      <c r="C138" s="691"/>
      <c r="D138" s="691"/>
      <c r="E138" s="691"/>
      <c r="F138" s="691"/>
      <c r="G138" s="691"/>
      <c r="H138" s="692"/>
      <c r="I138" s="293"/>
      <c r="J138" s="485"/>
      <c r="K138" s="486"/>
      <c r="L138" s="261"/>
      <c r="M138" s="651"/>
      <c r="N138" s="651"/>
      <c r="O138" s="650"/>
      <c r="P138" s="650"/>
      <c r="Q138" s="651"/>
      <c r="R138" s="651"/>
      <c r="S138" s="652"/>
      <c r="T138" s="653"/>
      <c r="U138" s="612" t="str">
        <f t="shared" si="14"/>
        <v/>
      </c>
      <c r="V138" s="612"/>
      <c r="W138" s="244"/>
    </row>
    <row r="139" spans="2:23" ht="15" customHeight="1" thickBot="1" x14ac:dyDescent="0.35">
      <c r="B139" s="690"/>
      <c r="C139" s="691"/>
      <c r="D139" s="691"/>
      <c r="E139" s="691"/>
      <c r="F139" s="691"/>
      <c r="G139" s="691"/>
      <c r="H139" s="692"/>
      <c r="I139" s="293"/>
      <c r="J139" s="485"/>
      <c r="K139" s="486"/>
      <c r="L139" s="261"/>
      <c r="M139" s="651"/>
      <c r="N139" s="651"/>
      <c r="O139" s="650"/>
      <c r="P139" s="650"/>
      <c r="Q139" s="651"/>
      <c r="R139" s="651"/>
      <c r="S139" s="652"/>
      <c r="T139" s="653"/>
      <c r="U139" s="612" t="str">
        <f t="shared" si="14"/>
        <v/>
      </c>
      <c r="V139" s="612"/>
      <c r="W139" s="244"/>
    </row>
    <row r="140" spans="2:23" ht="15" customHeight="1" thickBot="1" x14ac:dyDescent="0.35">
      <c r="B140" s="690"/>
      <c r="C140" s="691"/>
      <c r="D140" s="691"/>
      <c r="E140" s="691"/>
      <c r="F140" s="691"/>
      <c r="G140" s="691"/>
      <c r="H140" s="692"/>
      <c r="I140" s="293"/>
      <c r="J140" s="485"/>
      <c r="K140" s="486"/>
      <c r="L140" s="261"/>
      <c r="M140" s="651"/>
      <c r="N140" s="651"/>
      <c r="O140" s="650"/>
      <c r="P140" s="650"/>
      <c r="Q140" s="651"/>
      <c r="R140" s="651"/>
      <c r="S140" s="652"/>
      <c r="T140" s="653"/>
      <c r="U140" s="612" t="str">
        <f t="shared" si="14"/>
        <v/>
      </c>
      <c r="V140" s="612"/>
      <c r="W140" s="244"/>
    </row>
    <row r="141" spans="2:23" ht="15" customHeight="1" x14ac:dyDescent="0.3">
      <c r="B141" s="693"/>
      <c r="C141" s="694"/>
      <c r="D141" s="694"/>
      <c r="E141" s="694"/>
      <c r="F141" s="694"/>
      <c r="G141" s="694"/>
      <c r="H141" s="695"/>
      <c r="I141" s="288"/>
      <c r="J141" s="487"/>
      <c r="K141" s="488"/>
      <c r="L141" s="258"/>
      <c r="M141" s="696"/>
      <c r="N141" s="696"/>
      <c r="O141" s="696"/>
      <c r="P141" s="696"/>
      <c r="Q141" s="696"/>
      <c r="R141" s="696"/>
      <c r="S141" s="697"/>
      <c r="T141" s="698"/>
      <c r="U141" s="668" t="str">
        <f>IF($Q141="","",ROUND($Q141/$S141,2))</f>
        <v/>
      </c>
      <c r="V141" s="668"/>
      <c r="W141" s="244"/>
    </row>
    <row r="142" spans="2:23" ht="15" customHeight="1" x14ac:dyDescent="0.3">
      <c r="C142" s="36"/>
      <c r="D142" s="36"/>
      <c r="E142" s="36"/>
      <c r="F142" s="36"/>
      <c r="G142" s="36"/>
      <c r="H142" s="36"/>
      <c r="I142" s="36"/>
      <c r="J142" s="36"/>
      <c r="K142" s="36"/>
      <c r="L142" s="26"/>
      <c r="M142" s="133"/>
      <c r="N142" s="133"/>
      <c r="O142" s="26"/>
      <c r="P142" s="26"/>
      <c r="Q142" s="134"/>
      <c r="R142" s="134"/>
      <c r="S142" s="134"/>
      <c r="T142" s="134"/>
      <c r="U142" s="137"/>
      <c r="V142" s="137"/>
      <c r="W142" s="244"/>
    </row>
    <row r="143" spans="2:23" ht="5.0999999999999996" customHeight="1" x14ac:dyDescent="0.3">
      <c r="E143" s="47"/>
      <c r="W143" s="244"/>
    </row>
    <row r="144" spans="2:23" ht="15.75" customHeight="1" x14ac:dyDescent="0.3">
      <c r="S144" s="101" t="s">
        <v>298</v>
      </c>
      <c r="T144" s="683">
        <f>IF(F6="",0,U112+U80+U28)</f>
        <v>178.38</v>
      </c>
      <c r="U144" s="684"/>
      <c r="V144" s="685"/>
      <c r="W144" s="244"/>
    </row>
    <row r="145" spans="2:24" ht="15.6" x14ac:dyDescent="0.3">
      <c r="S145" s="101" t="s">
        <v>1689</v>
      </c>
      <c r="T145" s="699">
        <f>ODM!Q57</f>
        <v>0</v>
      </c>
      <c r="U145" s="700"/>
      <c r="V145" s="701"/>
      <c r="W145" s="244"/>
    </row>
    <row r="146" spans="2:24" ht="15.6" x14ac:dyDescent="0.3">
      <c r="D146" s="47"/>
      <c r="E146" s="47"/>
      <c r="F146" s="47"/>
      <c r="S146" s="101"/>
      <c r="T146" s="141"/>
      <c r="U146" s="141"/>
      <c r="V146" s="141"/>
      <c r="W146" s="244"/>
    </row>
    <row r="147" spans="2:24" ht="5.0999999999999996" customHeight="1" x14ac:dyDescent="0.3">
      <c r="B147" s="47"/>
      <c r="C147" s="47"/>
      <c r="D147" s="47"/>
      <c r="E147" s="47"/>
      <c r="F147" s="47"/>
      <c r="W147" s="244"/>
    </row>
    <row r="148" spans="2:24" ht="15" customHeight="1" x14ac:dyDescent="0.3">
      <c r="B148" s="270" t="s">
        <v>304</v>
      </c>
      <c r="C148" s="271"/>
      <c r="D148" s="271"/>
      <c r="E148" s="271"/>
      <c r="F148" s="271"/>
      <c r="G148" s="271"/>
      <c r="H148" s="271"/>
      <c r="I148" s="271"/>
      <c r="J148" s="271"/>
      <c r="K148" s="271"/>
      <c r="L148" s="271"/>
      <c r="M148" s="271"/>
      <c r="N148" s="271"/>
      <c r="O148" s="271"/>
      <c r="P148" s="271"/>
      <c r="Q148" s="271"/>
      <c r="R148" s="271"/>
      <c r="S148" s="271"/>
      <c r="T148" s="272"/>
      <c r="U148" s="688"/>
      <c r="V148" s="689"/>
      <c r="W148" s="244"/>
    </row>
    <row r="149" spans="2:24" ht="15" customHeight="1" x14ac:dyDescent="0.3">
      <c r="B149" s="496" t="s">
        <v>254</v>
      </c>
      <c r="C149" s="581"/>
      <c r="D149" s="581"/>
      <c r="E149" s="581"/>
      <c r="F149" s="581"/>
      <c r="G149" s="581"/>
      <c r="H149" s="581"/>
      <c r="I149" s="581"/>
      <c r="J149" s="581"/>
      <c r="K149" s="497"/>
      <c r="L149" s="86" t="s">
        <v>282</v>
      </c>
      <c r="M149" s="537" t="s">
        <v>256</v>
      </c>
      <c r="N149" s="537"/>
      <c r="O149" s="537" t="s">
        <v>257</v>
      </c>
      <c r="P149" s="537"/>
      <c r="Q149" s="537" t="s">
        <v>414</v>
      </c>
      <c r="R149" s="537"/>
      <c r="S149" s="537" t="s">
        <v>300</v>
      </c>
      <c r="T149" s="537"/>
      <c r="U149" s="537" t="s">
        <v>315</v>
      </c>
      <c r="V149" s="537"/>
      <c r="W149" s="244"/>
    </row>
    <row r="150" spans="2:24" ht="15" customHeight="1" thickBot="1" x14ac:dyDescent="0.35">
      <c r="B150" s="669" t="s">
        <v>278</v>
      </c>
      <c r="C150" s="670"/>
      <c r="D150" s="671"/>
      <c r="E150" s="672"/>
      <c r="F150" s="673"/>
      <c r="G150" s="673"/>
      <c r="H150" s="673"/>
      <c r="I150" s="673"/>
      <c r="J150" s="673"/>
      <c r="K150" s="673"/>
      <c r="L150" s="296"/>
      <c r="M150" s="674"/>
      <c r="N150" s="674"/>
      <c r="O150" s="675"/>
      <c r="P150" s="675"/>
      <c r="Q150" s="676"/>
      <c r="R150" s="676"/>
      <c r="S150" s="676"/>
      <c r="T150" s="677"/>
      <c r="U150" s="599">
        <f>IF($S150=0,0,ROUND($Q150/$S150,2))</f>
        <v>0</v>
      </c>
      <c r="V150" s="599"/>
      <c r="W150" s="244"/>
      <c r="X150" s="94"/>
    </row>
    <row r="151" spans="2:24" ht="15" customHeight="1" x14ac:dyDescent="0.3">
      <c r="B151" s="659" t="s">
        <v>277</v>
      </c>
      <c r="C151" s="660"/>
      <c r="D151" s="661"/>
      <c r="E151" s="662"/>
      <c r="F151" s="663"/>
      <c r="G151" s="663"/>
      <c r="H151" s="663"/>
      <c r="I151" s="663"/>
      <c r="J151" s="663"/>
      <c r="K151" s="663"/>
      <c r="L151" s="297"/>
      <c r="M151" s="664"/>
      <c r="N151" s="664"/>
      <c r="O151" s="665"/>
      <c r="P151" s="665"/>
      <c r="Q151" s="666"/>
      <c r="R151" s="666"/>
      <c r="S151" s="666"/>
      <c r="T151" s="667"/>
      <c r="U151" s="668">
        <f>IF($S151=0,0,ROUND($Q151/$S151,2))</f>
        <v>0</v>
      </c>
      <c r="V151" s="668"/>
      <c r="W151" s="244"/>
      <c r="X151" s="94"/>
    </row>
    <row r="152" spans="2:24" ht="15" customHeight="1" x14ac:dyDescent="0.3">
      <c r="B152" s="142"/>
      <c r="C152" s="142"/>
      <c r="D152" s="142"/>
      <c r="E152" s="36"/>
      <c r="F152" s="36"/>
      <c r="G152" s="36"/>
      <c r="H152" s="36"/>
      <c r="I152" s="36"/>
      <c r="J152" s="36"/>
      <c r="K152" s="36"/>
      <c r="L152" s="26"/>
      <c r="M152" s="133"/>
      <c r="N152" s="133"/>
      <c r="O152" s="26"/>
      <c r="P152" s="26"/>
      <c r="Q152" s="134"/>
      <c r="R152" s="134"/>
      <c r="S152" s="134"/>
      <c r="T152" s="134"/>
      <c r="U152" s="137"/>
      <c r="V152" s="137"/>
      <c r="W152" s="244"/>
      <c r="X152" s="94"/>
    </row>
    <row r="153" spans="2:24" ht="5.0999999999999996" customHeight="1" x14ac:dyDescent="0.3">
      <c r="W153" s="244"/>
    </row>
    <row r="154" spans="2:24" ht="15.6" x14ac:dyDescent="0.3">
      <c r="B154" s="37" t="s">
        <v>299</v>
      </c>
      <c r="C154" s="678" t="s">
        <v>547</v>
      </c>
      <c r="D154" s="678"/>
      <c r="E154" s="678"/>
      <c r="F154" s="678"/>
      <c r="G154" s="678"/>
      <c r="H154" s="678"/>
      <c r="I154" s="678"/>
      <c r="J154" s="678"/>
      <c r="R154" s="117"/>
      <c r="S154" s="101" t="s">
        <v>1553</v>
      </c>
      <c r="T154" s="683">
        <f>SUM(U150:V151)</f>
        <v>0</v>
      </c>
      <c r="U154" s="684"/>
      <c r="V154" s="685"/>
      <c r="W154" s="244"/>
    </row>
    <row r="155" spans="2:24" ht="15" customHeight="1" x14ac:dyDescent="0.3">
      <c r="B155" s="37"/>
      <c r="C155" s="678"/>
      <c r="D155" s="678"/>
      <c r="E155" s="678"/>
      <c r="F155" s="678"/>
      <c r="G155" s="678"/>
      <c r="H155" s="678"/>
      <c r="I155" s="678"/>
      <c r="J155" s="678"/>
      <c r="R155" s="117"/>
      <c r="S155" s="101" t="s">
        <v>1692</v>
      </c>
      <c r="T155" s="683">
        <f>T144-(ROUND(T145,2)+T154)</f>
        <v>178.38</v>
      </c>
      <c r="U155" s="684"/>
      <c r="V155" s="685"/>
      <c r="W155" s="244"/>
    </row>
    <row r="156" spans="2:24" ht="15.6" x14ac:dyDescent="0.3">
      <c r="B156" s="37"/>
      <c r="C156" s="116"/>
      <c r="E156" s="47"/>
      <c r="F156" s="47"/>
      <c r="N156" s="85" t="str">
        <f>IF(T155&lt;0,"pour le remboursement, vous reporter à la procédure de l'onglet Aide à la saisie","")</f>
        <v/>
      </c>
      <c r="R156" s="117"/>
      <c r="S156" s="101"/>
      <c r="T156" s="141"/>
      <c r="U156" s="141"/>
      <c r="V156" s="141"/>
      <c r="W156" s="244"/>
    </row>
    <row r="157" spans="2:24" ht="5.0999999999999996" customHeight="1" x14ac:dyDescent="0.3">
      <c r="E157" s="47"/>
      <c r="W157" s="244"/>
    </row>
    <row r="158" spans="2:24" ht="15" customHeight="1" thickBot="1" x14ac:dyDescent="0.35">
      <c r="B158" s="616" t="s">
        <v>2</v>
      </c>
      <c r="C158" s="584"/>
      <c r="D158" s="584" t="str">
        <f>F6</f>
        <v>BRAUD  Oriane</v>
      </c>
      <c r="E158" s="584"/>
      <c r="F158" s="584"/>
      <c r="G158" s="584"/>
      <c r="H158" s="585"/>
      <c r="I158" s="118" t="s">
        <v>2</v>
      </c>
      <c r="J158" s="686" t="str">
        <f>IF(ISBLANK(ODM!O92),"",ODM!O92)</f>
        <v>Pradal</v>
      </c>
      <c r="K158" s="686"/>
      <c r="L158" s="686"/>
      <c r="M158" s="686"/>
      <c r="N158" s="686"/>
      <c r="O158" s="687"/>
      <c r="P158" s="234" t="s">
        <v>1565</v>
      </c>
      <c r="Q158" s="232"/>
      <c r="R158" s="232"/>
      <c r="S158" s="232"/>
      <c r="T158" s="232"/>
      <c r="U158" s="232"/>
      <c r="V158" s="233"/>
      <c r="W158" s="244"/>
    </row>
    <row r="159" spans="2:24" ht="15" customHeight="1" thickBot="1" x14ac:dyDescent="0.35">
      <c r="B159" s="654" t="s">
        <v>266</v>
      </c>
      <c r="C159" s="361"/>
      <c r="D159" s="655">
        <v>45376</v>
      </c>
      <c r="E159" s="655"/>
      <c r="F159" s="655"/>
      <c r="G159" s="655"/>
      <c r="H159" s="656"/>
      <c r="I159" s="119" t="s">
        <v>266</v>
      </c>
      <c r="J159" s="657"/>
      <c r="K159" s="657"/>
      <c r="L159" s="657"/>
      <c r="M159" s="657"/>
      <c r="N159" s="657"/>
      <c r="O159" s="658"/>
      <c r="P159" s="681" t="s">
        <v>1566</v>
      </c>
      <c r="Q159" s="682"/>
      <c r="R159" s="682"/>
      <c r="S159" s="682"/>
      <c r="T159" s="682"/>
      <c r="U159" s="679"/>
      <c r="V159" s="680"/>
      <c r="W159" s="244"/>
    </row>
    <row r="160" spans="2:24" ht="15" customHeight="1" thickBot="1" x14ac:dyDescent="0.35">
      <c r="B160" s="654"/>
      <c r="C160" s="361"/>
      <c r="D160" s="720"/>
      <c r="E160" s="720"/>
      <c r="F160" s="720"/>
      <c r="G160" s="720"/>
      <c r="H160" s="721"/>
      <c r="I160" s="119"/>
      <c r="J160" s="722"/>
      <c r="K160" s="722"/>
      <c r="L160" s="722"/>
      <c r="M160" s="722"/>
      <c r="N160" s="722"/>
      <c r="O160" s="723"/>
      <c r="P160" s="681" t="s">
        <v>1667</v>
      </c>
      <c r="Q160" s="682"/>
      <c r="R160" s="682"/>
      <c r="S160" s="682"/>
      <c r="T160" s="682"/>
      <c r="U160" s="724"/>
      <c r="V160" s="725"/>
      <c r="W160" s="244"/>
    </row>
    <row r="161" spans="2:23" ht="15" customHeight="1" x14ac:dyDescent="0.3">
      <c r="B161" s="121" t="s">
        <v>1547</v>
      </c>
      <c r="C161" s="122"/>
      <c r="D161" s="122"/>
      <c r="E161" s="163"/>
      <c r="F161" s="531"/>
      <c r="G161" s="531"/>
      <c r="H161" s="532"/>
      <c r="I161" s="171" t="s">
        <v>265</v>
      </c>
      <c r="J161" s="15"/>
      <c r="K161" s="732"/>
      <c r="L161" s="732"/>
      <c r="M161" s="732"/>
      <c r="N161" s="732"/>
      <c r="O161" s="733"/>
      <c r="P161" s="119" t="s">
        <v>1554</v>
      </c>
      <c r="Q161" s="120"/>
      <c r="R161" s="120"/>
      <c r="S161" s="120"/>
      <c r="T161" s="120"/>
      <c r="U161" s="120"/>
      <c r="V161" s="219"/>
      <c r="W161" s="244"/>
    </row>
    <row r="162" spans="2:23" ht="15" customHeight="1" x14ac:dyDescent="0.3">
      <c r="B162" s="167"/>
      <c r="C162" s="163"/>
      <c r="D162" s="163"/>
      <c r="E162" s="163"/>
      <c r="F162" s="531"/>
      <c r="G162" s="531"/>
      <c r="H162" s="532"/>
      <c r="I162" s="165"/>
      <c r="J162" s="166"/>
      <c r="K162" s="732"/>
      <c r="L162" s="732"/>
      <c r="M162" s="732"/>
      <c r="N162" s="732"/>
      <c r="O162" s="733"/>
      <c r="P162" s="726"/>
      <c r="Q162" s="727"/>
      <c r="R162" s="727"/>
      <c r="S162" s="727"/>
      <c r="T162" s="727"/>
      <c r="U162" s="727"/>
      <c r="V162" s="728"/>
      <c r="W162" s="244"/>
    </row>
    <row r="163" spans="2:23" ht="15" customHeight="1" x14ac:dyDescent="0.3">
      <c r="B163" s="167"/>
      <c r="C163" s="163"/>
      <c r="D163" s="163"/>
      <c r="E163" s="163"/>
      <c r="F163" s="531"/>
      <c r="G163" s="531"/>
      <c r="H163" s="532"/>
      <c r="I163" s="165"/>
      <c r="J163" s="166"/>
      <c r="K163" s="732"/>
      <c r="L163" s="732"/>
      <c r="M163" s="732"/>
      <c r="N163" s="732"/>
      <c r="O163" s="733"/>
      <c r="P163" s="726"/>
      <c r="Q163" s="727"/>
      <c r="R163" s="727"/>
      <c r="S163" s="727"/>
      <c r="T163" s="727"/>
      <c r="U163" s="727"/>
      <c r="V163" s="728"/>
      <c r="W163" s="244"/>
    </row>
    <row r="164" spans="2:23" ht="15" customHeight="1" x14ac:dyDescent="0.3">
      <c r="B164" s="535" t="s">
        <v>491</v>
      </c>
      <c r="C164" s="536"/>
      <c r="D164" s="536"/>
      <c r="E164" s="536"/>
      <c r="F164" s="531"/>
      <c r="G164" s="531"/>
      <c r="H164" s="532"/>
      <c r="I164" s="165"/>
      <c r="J164" s="166"/>
      <c r="K164" s="732"/>
      <c r="L164" s="732"/>
      <c r="M164" s="732"/>
      <c r="N164" s="732"/>
      <c r="O164" s="733"/>
      <c r="P164" s="726"/>
      <c r="Q164" s="727"/>
      <c r="R164" s="727"/>
      <c r="S164" s="727"/>
      <c r="T164" s="727"/>
      <c r="U164" s="727"/>
      <c r="V164" s="728"/>
      <c r="W164" s="244"/>
    </row>
    <row r="165" spans="2:23" ht="15" customHeight="1" x14ac:dyDescent="0.3">
      <c r="B165" s="168"/>
      <c r="C165" s="164"/>
      <c r="D165" s="164"/>
      <c r="E165" s="164"/>
      <c r="F165" s="533"/>
      <c r="G165" s="533"/>
      <c r="H165" s="534"/>
      <c r="I165" s="169"/>
      <c r="J165" s="170"/>
      <c r="K165" s="734"/>
      <c r="L165" s="734"/>
      <c r="M165" s="734"/>
      <c r="N165" s="734"/>
      <c r="O165" s="735"/>
      <c r="P165" s="729"/>
      <c r="Q165" s="730"/>
      <c r="R165" s="730"/>
      <c r="S165" s="730"/>
      <c r="T165" s="730"/>
      <c r="U165" s="730"/>
      <c r="V165" s="731"/>
      <c r="W165" s="244"/>
    </row>
    <row r="166" spans="2:23" x14ac:dyDescent="0.3"/>
    <row r="167" spans="2:23" ht="5.0999999999999996" hidden="1" customHeight="1" x14ac:dyDescent="0.3"/>
    <row r="168" spans="2:23" x14ac:dyDescent="0.3"/>
    <row r="169" spans="2:23" x14ac:dyDescent="0.3"/>
    <row r="170" spans="2:23" x14ac:dyDescent="0.3"/>
    <row r="171" spans="2:23" x14ac:dyDescent="0.3"/>
    <row r="172" spans="2:23" x14ac:dyDescent="0.3"/>
    <row r="173" spans="2:23" x14ac:dyDescent="0.3"/>
    <row r="174" spans="2:23" x14ac:dyDescent="0.3"/>
    <row r="175" spans="2:23" x14ac:dyDescent="0.3"/>
    <row r="177" x14ac:dyDescent="0.3"/>
    <row r="178" x14ac:dyDescent="0.3"/>
    <row r="179" x14ac:dyDescent="0.3"/>
    <row r="180" x14ac:dyDescent="0.3"/>
  </sheetData>
  <sheetProtection algorithmName="SHA-512" hashValue="pqU0ZJdzBclOHFCw1b20+PbBOt1lWiTpS0SzS1UcILApsX7Pp/HN/v5gY022TVCsNNP2t0KQ2wxHDuhBGK5AGQ==" saltValue="EhfoS/oAlXNbLAY3OsNNmQ==" spinCount="100000" sheet="1" selectLockedCells="1"/>
  <mergeCells count="733">
    <mergeCell ref="B41:K41"/>
    <mergeCell ref="B42:K42"/>
    <mergeCell ref="C155:J155"/>
    <mergeCell ref="T155:V155"/>
    <mergeCell ref="AB47:AK47"/>
    <mergeCell ref="B160:C160"/>
    <mergeCell ref="D160:H160"/>
    <mergeCell ref="J160:O160"/>
    <mergeCell ref="P160:T160"/>
    <mergeCell ref="U160:V160"/>
    <mergeCell ref="P162:V165"/>
    <mergeCell ref="K161:O165"/>
    <mergeCell ref="B131:H131"/>
    <mergeCell ref="B132:H132"/>
    <mergeCell ref="B133:H133"/>
    <mergeCell ref="B134:H134"/>
    <mergeCell ref="B135:H135"/>
    <mergeCell ref="B136:H136"/>
    <mergeCell ref="B137:H137"/>
    <mergeCell ref="B138:H138"/>
    <mergeCell ref="B139:H139"/>
    <mergeCell ref="U133:V133"/>
    <mergeCell ref="M132:N132"/>
    <mergeCell ref="O132:P132"/>
    <mergeCell ref="Q132:R132"/>
    <mergeCell ref="S132:T132"/>
    <mergeCell ref="U132:V132"/>
    <mergeCell ref="M131:N131"/>
    <mergeCell ref="O133:P133"/>
    <mergeCell ref="S135:T135"/>
    <mergeCell ref="E22:F22"/>
    <mergeCell ref="H22:I22"/>
    <mergeCell ref="K22:L22"/>
    <mergeCell ref="B108:K108"/>
    <mergeCell ref="B96:K96"/>
    <mergeCell ref="B94:K94"/>
    <mergeCell ref="B89:K89"/>
    <mergeCell ref="B68:K68"/>
    <mergeCell ref="B67:K67"/>
    <mergeCell ref="B65:K65"/>
    <mergeCell ref="B63:K63"/>
    <mergeCell ref="B61:K61"/>
    <mergeCell ref="B59:K59"/>
    <mergeCell ref="B57:K57"/>
    <mergeCell ref="B55:K55"/>
    <mergeCell ref="B53:K53"/>
    <mergeCell ref="B51:K51"/>
    <mergeCell ref="B49:K49"/>
    <mergeCell ref="B47:K47"/>
    <mergeCell ref="B87:K87"/>
    <mergeCell ref="K83:R83"/>
    <mergeCell ref="B71:K71"/>
    <mergeCell ref="M71:N71"/>
    <mergeCell ref="B39:K39"/>
    <mergeCell ref="N22:O22"/>
    <mergeCell ref="M136:N136"/>
    <mergeCell ref="O136:P136"/>
    <mergeCell ref="M121:N121"/>
    <mergeCell ref="O121:P121"/>
    <mergeCell ref="B104:K104"/>
    <mergeCell ref="M104:N104"/>
    <mergeCell ref="O104:P104"/>
    <mergeCell ref="B102:K102"/>
    <mergeCell ref="M102:N102"/>
    <mergeCell ref="O102:P102"/>
    <mergeCell ref="M133:N133"/>
    <mergeCell ref="O115:P115"/>
    <mergeCell ref="J134:K134"/>
    <mergeCell ref="J135:K135"/>
    <mergeCell ref="J136:K136"/>
    <mergeCell ref="B113:H113"/>
    <mergeCell ref="B114:H114"/>
    <mergeCell ref="B115:H115"/>
    <mergeCell ref="B116:H116"/>
    <mergeCell ref="B117:H117"/>
    <mergeCell ref="J115:K115"/>
    <mergeCell ref="J116:K116"/>
    <mergeCell ref="J117:K117"/>
    <mergeCell ref="B118:H118"/>
    <mergeCell ref="B105:K105"/>
    <mergeCell ref="M105:N105"/>
    <mergeCell ref="O131:P131"/>
    <mergeCell ref="B128:H128"/>
    <mergeCell ref="B129:H129"/>
    <mergeCell ref="B130:H130"/>
    <mergeCell ref="O126:P126"/>
    <mergeCell ref="M118:N118"/>
    <mergeCell ref="O118:P118"/>
    <mergeCell ref="M108:N108"/>
    <mergeCell ref="O108:P108"/>
    <mergeCell ref="B106:K106"/>
    <mergeCell ref="M106:N106"/>
    <mergeCell ref="O106:P106"/>
    <mergeCell ref="M115:N115"/>
    <mergeCell ref="B119:H119"/>
    <mergeCell ref="B120:H120"/>
    <mergeCell ref="B121:H121"/>
    <mergeCell ref="B122:H122"/>
    <mergeCell ref="B123:H123"/>
    <mergeCell ref="B124:H124"/>
    <mergeCell ref="B125:H125"/>
    <mergeCell ref="B126:H126"/>
    <mergeCell ref="U135:V135"/>
    <mergeCell ref="M134:N134"/>
    <mergeCell ref="O134:P134"/>
    <mergeCell ref="Q134:R134"/>
    <mergeCell ref="S134:T134"/>
    <mergeCell ref="U134:V134"/>
    <mergeCell ref="U129:V129"/>
    <mergeCell ref="M128:N128"/>
    <mergeCell ref="O128:P128"/>
    <mergeCell ref="Q128:R128"/>
    <mergeCell ref="S128:T128"/>
    <mergeCell ref="U128:V128"/>
    <mergeCell ref="S131:T131"/>
    <mergeCell ref="U131:V131"/>
    <mergeCell ref="U130:V130"/>
    <mergeCell ref="M135:N135"/>
    <mergeCell ref="S126:T126"/>
    <mergeCell ref="U126:V126"/>
    <mergeCell ref="M125:N125"/>
    <mergeCell ref="O125:P125"/>
    <mergeCell ref="S136:T136"/>
    <mergeCell ref="Q136:R136"/>
    <mergeCell ref="S127:T127"/>
    <mergeCell ref="M127:N127"/>
    <mergeCell ref="O127:P127"/>
    <mergeCell ref="Q127:R127"/>
    <mergeCell ref="M130:N130"/>
    <mergeCell ref="O130:P130"/>
    <mergeCell ref="Q130:R130"/>
    <mergeCell ref="S130:T130"/>
    <mergeCell ref="M129:N129"/>
    <mergeCell ref="O129:P129"/>
    <mergeCell ref="Q129:R129"/>
    <mergeCell ref="S129:T129"/>
    <mergeCell ref="O135:P135"/>
    <mergeCell ref="Q135:R135"/>
    <mergeCell ref="Q133:R133"/>
    <mergeCell ref="S133:T133"/>
    <mergeCell ref="Q131:R131"/>
    <mergeCell ref="U136:V136"/>
    <mergeCell ref="O114:P114"/>
    <mergeCell ref="Q114:R114"/>
    <mergeCell ref="Q118:R118"/>
    <mergeCell ref="S118:T118"/>
    <mergeCell ref="U118:V118"/>
    <mergeCell ref="B127:H127"/>
    <mergeCell ref="S124:T124"/>
    <mergeCell ref="U124:V124"/>
    <mergeCell ref="M123:N123"/>
    <mergeCell ref="O123:P123"/>
    <mergeCell ref="Q123:R123"/>
    <mergeCell ref="S123:T123"/>
    <mergeCell ref="U123:V123"/>
    <mergeCell ref="M122:N122"/>
    <mergeCell ref="O122:P122"/>
    <mergeCell ref="Q122:R122"/>
    <mergeCell ref="S122:T122"/>
    <mergeCell ref="U122:V122"/>
    <mergeCell ref="M124:N124"/>
    <mergeCell ref="O124:P124"/>
    <mergeCell ref="Q124:R124"/>
    <mergeCell ref="U127:V127"/>
    <mergeCell ref="M126:N126"/>
    <mergeCell ref="Q126:R126"/>
    <mergeCell ref="O117:P117"/>
    <mergeCell ref="Q117:R117"/>
    <mergeCell ref="S117:T117"/>
    <mergeCell ref="U117:V117"/>
    <mergeCell ref="M120:N120"/>
    <mergeCell ref="O120:P120"/>
    <mergeCell ref="Q120:R120"/>
    <mergeCell ref="S120:T120"/>
    <mergeCell ref="U120:V120"/>
    <mergeCell ref="M119:N119"/>
    <mergeCell ref="O119:P119"/>
    <mergeCell ref="Q119:R119"/>
    <mergeCell ref="S119:T119"/>
    <mergeCell ref="U119:V119"/>
    <mergeCell ref="Q125:R125"/>
    <mergeCell ref="S125:T125"/>
    <mergeCell ref="U125:V125"/>
    <mergeCell ref="Q121:R121"/>
    <mergeCell ref="S121:T121"/>
    <mergeCell ref="U121:V121"/>
    <mergeCell ref="B103:K103"/>
    <mergeCell ref="M103:N103"/>
    <mergeCell ref="O103:P103"/>
    <mergeCell ref="Q103:R103"/>
    <mergeCell ref="S103:T103"/>
    <mergeCell ref="U103:V103"/>
    <mergeCell ref="S114:T114"/>
    <mergeCell ref="U114:V114"/>
    <mergeCell ref="U112:V112"/>
    <mergeCell ref="M113:N113"/>
    <mergeCell ref="O113:P113"/>
    <mergeCell ref="Q113:R113"/>
    <mergeCell ref="S113:T113"/>
    <mergeCell ref="U113:V113"/>
    <mergeCell ref="M107:N107"/>
    <mergeCell ref="O107:P107"/>
    <mergeCell ref="Q107:R107"/>
    <mergeCell ref="S107:T107"/>
    <mergeCell ref="U107:V107"/>
    <mergeCell ref="Q108:R108"/>
    <mergeCell ref="S108:T108"/>
    <mergeCell ref="U108:V108"/>
    <mergeCell ref="B107:K107"/>
    <mergeCell ref="M114:N114"/>
    <mergeCell ref="Q106:R106"/>
    <mergeCell ref="S106:T106"/>
    <mergeCell ref="U106:V106"/>
    <mergeCell ref="O105:P105"/>
    <mergeCell ref="Q105:R105"/>
    <mergeCell ref="S105:T105"/>
    <mergeCell ref="U105:V105"/>
    <mergeCell ref="Q102:R102"/>
    <mergeCell ref="S102:T102"/>
    <mergeCell ref="U102:V102"/>
    <mergeCell ref="Q104:R104"/>
    <mergeCell ref="S104:T104"/>
    <mergeCell ref="U104:V104"/>
    <mergeCell ref="S101:T101"/>
    <mergeCell ref="U101:V101"/>
    <mergeCell ref="Q100:R100"/>
    <mergeCell ref="S100:T100"/>
    <mergeCell ref="U100:V100"/>
    <mergeCell ref="B99:K99"/>
    <mergeCell ref="M99:N99"/>
    <mergeCell ref="O99:P99"/>
    <mergeCell ref="Q99:R99"/>
    <mergeCell ref="S99:T99"/>
    <mergeCell ref="U99:V99"/>
    <mergeCell ref="B100:K100"/>
    <mergeCell ref="M100:N100"/>
    <mergeCell ref="O100:P100"/>
    <mergeCell ref="B101:K101"/>
    <mergeCell ref="M101:N101"/>
    <mergeCell ref="O101:P101"/>
    <mergeCell ref="Q101:R101"/>
    <mergeCell ref="Q98:R98"/>
    <mergeCell ref="S98:T98"/>
    <mergeCell ref="U98:V98"/>
    <mergeCell ref="B97:K97"/>
    <mergeCell ref="M97:N97"/>
    <mergeCell ref="O97:P97"/>
    <mergeCell ref="Q97:R97"/>
    <mergeCell ref="S97:T97"/>
    <mergeCell ref="U97:V97"/>
    <mergeCell ref="B98:K98"/>
    <mergeCell ref="M98:N98"/>
    <mergeCell ref="O98:P98"/>
    <mergeCell ref="U92:V92"/>
    <mergeCell ref="O90:P90"/>
    <mergeCell ref="Q90:R90"/>
    <mergeCell ref="S90:T90"/>
    <mergeCell ref="U90:V90"/>
    <mergeCell ref="B91:K91"/>
    <mergeCell ref="B95:K95"/>
    <mergeCell ref="M95:N95"/>
    <mergeCell ref="O95:P95"/>
    <mergeCell ref="Q95:R95"/>
    <mergeCell ref="S95:T95"/>
    <mergeCell ref="U95:V95"/>
    <mergeCell ref="B93:K93"/>
    <mergeCell ref="M93:N93"/>
    <mergeCell ref="O93:P93"/>
    <mergeCell ref="Q93:R93"/>
    <mergeCell ref="S93:T93"/>
    <mergeCell ref="U93:V93"/>
    <mergeCell ref="B92:K92"/>
    <mergeCell ref="M92:N92"/>
    <mergeCell ref="O92:P92"/>
    <mergeCell ref="Q92:R92"/>
    <mergeCell ref="S92:T92"/>
    <mergeCell ref="U85:V85"/>
    <mergeCell ref="M94:N94"/>
    <mergeCell ref="O94:P94"/>
    <mergeCell ref="Q94:R94"/>
    <mergeCell ref="S94:T94"/>
    <mergeCell ref="U94:V94"/>
    <mergeCell ref="Q68:R68"/>
    <mergeCell ref="S68:T68"/>
    <mergeCell ref="U68:V68"/>
    <mergeCell ref="S70:T70"/>
    <mergeCell ref="U70:V70"/>
    <mergeCell ref="S82:T82"/>
    <mergeCell ref="U82:V82"/>
    <mergeCell ref="U69:V69"/>
    <mergeCell ref="M87:N87"/>
    <mergeCell ref="O87:P87"/>
    <mergeCell ref="Q87:R87"/>
    <mergeCell ref="S87:T87"/>
    <mergeCell ref="U87:V87"/>
    <mergeCell ref="U89:V89"/>
    <mergeCell ref="S83:T83"/>
    <mergeCell ref="U83:V83"/>
    <mergeCell ref="U76:V76"/>
    <mergeCell ref="U80:V80"/>
    <mergeCell ref="M67:N67"/>
    <mergeCell ref="O67:P67"/>
    <mergeCell ref="Q67:R67"/>
    <mergeCell ref="S67:T67"/>
    <mergeCell ref="U67:V67"/>
    <mergeCell ref="T73:U73"/>
    <mergeCell ref="B74:J74"/>
    <mergeCell ref="S74:T74"/>
    <mergeCell ref="U74:V74"/>
    <mergeCell ref="O71:P71"/>
    <mergeCell ref="Q71:R71"/>
    <mergeCell ref="S71:T71"/>
    <mergeCell ref="U71:V71"/>
    <mergeCell ref="B70:K70"/>
    <mergeCell ref="M70:N70"/>
    <mergeCell ref="O70:P70"/>
    <mergeCell ref="Q70:R70"/>
    <mergeCell ref="B69:K69"/>
    <mergeCell ref="M69:N69"/>
    <mergeCell ref="O69:P69"/>
    <mergeCell ref="Q69:R69"/>
    <mergeCell ref="S69:T69"/>
    <mergeCell ref="M68:N68"/>
    <mergeCell ref="O68:P68"/>
    <mergeCell ref="B66:K66"/>
    <mergeCell ref="M66:N66"/>
    <mergeCell ref="O66:P66"/>
    <mergeCell ref="Q66:R66"/>
    <mergeCell ref="S66:T66"/>
    <mergeCell ref="U66:V66"/>
    <mergeCell ref="M65:N65"/>
    <mergeCell ref="O65:P65"/>
    <mergeCell ref="Q65:R65"/>
    <mergeCell ref="S65:T65"/>
    <mergeCell ref="U65:V65"/>
    <mergeCell ref="B64:K64"/>
    <mergeCell ref="M64:N64"/>
    <mergeCell ref="O64:P64"/>
    <mergeCell ref="Q64:R64"/>
    <mergeCell ref="S64:T64"/>
    <mergeCell ref="U64:V64"/>
    <mergeCell ref="M63:N63"/>
    <mergeCell ref="O63:P63"/>
    <mergeCell ref="Q63:R63"/>
    <mergeCell ref="S63:T63"/>
    <mergeCell ref="U63:V63"/>
    <mergeCell ref="B62:K62"/>
    <mergeCell ref="M62:N62"/>
    <mergeCell ref="O62:P62"/>
    <mergeCell ref="Q62:R62"/>
    <mergeCell ref="S62:T62"/>
    <mergeCell ref="U62:V62"/>
    <mergeCell ref="M61:N61"/>
    <mergeCell ref="O61:P61"/>
    <mergeCell ref="Q61:R61"/>
    <mergeCell ref="S61:T61"/>
    <mergeCell ref="U61:V61"/>
    <mergeCell ref="B60:K60"/>
    <mergeCell ref="M60:N60"/>
    <mergeCell ref="O60:P60"/>
    <mergeCell ref="Q60:R60"/>
    <mergeCell ref="S60:T60"/>
    <mergeCell ref="U60:V60"/>
    <mergeCell ref="M59:N59"/>
    <mergeCell ref="O59:P59"/>
    <mergeCell ref="Q59:R59"/>
    <mergeCell ref="S59:T59"/>
    <mergeCell ref="U59:V59"/>
    <mergeCell ref="B58:K58"/>
    <mergeCell ref="M58:N58"/>
    <mergeCell ref="O58:P58"/>
    <mergeCell ref="Q58:R58"/>
    <mergeCell ref="S58:T58"/>
    <mergeCell ref="U58:V58"/>
    <mergeCell ref="M57:N57"/>
    <mergeCell ref="O57:P57"/>
    <mergeCell ref="Q57:R57"/>
    <mergeCell ref="S57:T57"/>
    <mergeCell ref="U57:V57"/>
    <mergeCell ref="B56:K56"/>
    <mergeCell ref="M56:N56"/>
    <mergeCell ref="O56:P56"/>
    <mergeCell ref="Q56:R56"/>
    <mergeCell ref="S56:T56"/>
    <mergeCell ref="U56:V56"/>
    <mergeCell ref="M55:N55"/>
    <mergeCell ref="O55:P55"/>
    <mergeCell ref="Q55:R55"/>
    <mergeCell ref="S55:T55"/>
    <mergeCell ref="U55:V55"/>
    <mergeCell ref="B54:K54"/>
    <mergeCell ref="M54:N54"/>
    <mergeCell ref="O54:P54"/>
    <mergeCell ref="Q54:R54"/>
    <mergeCell ref="S54:T54"/>
    <mergeCell ref="U54:V54"/>
    <mergeCell ref="M53:N53"/>
    <mergeCell ref="O53:P53"/>
    <mergeCell ref="Q53:R53"/>
    <mergeCell ref="S53:T53"/>
    <mergeCell ref="U53:V53"/>
    <mergeCell ref="S50:T50"/>
    <mergeCell ref="U50:V50"/>
    <mergeCell ref="M49:N49"/>
    <mergeCell ref="O49:P49"/>
    <mergeCell ref="Q49:R49"/>
    <mergeCell ref="S49:T49"/>
    <mergeCell ref="U49:V49"/>
    <mergeCell ref="B52:K52"/>
    <mergeCell ref="M52:N52"/>
    <mergeCell ref="O52:P52"/>
    <mergeCell ref="Q52:R52"/>
    <mergeCell ref="S52:T52"/>
    <mergeCell ref="U52:V52"/>
    <mergeCell ref="M51:N51"/>
    <mergeCell ref="O51:P51"/>
    <mergeCell ref="Q51:R51"/>
    <mergeCell ref="S51:T51"/>
    <mergeCell ref="U51:V51"/>
    <mergeCell ref="S48:T48"/>
    <mergeCell ref="U48:V48"/>
    <mergeCell ref="M47:N47"/>
    <mergeCell ref="O47:P47"/>
    <mergeCell ref="Q47:R47"/>
    <mergeCell ref="S47:T47"/>
    <mergeCell ref="U47:V47"/>
    <mergeCell ref="B45:K45"/>
    <mergeCell ref="M45:N45"/>
    <mergeCell ref="B46:K46"/>
    <mergeCell ref="M46:N46"/>
    <mergeCell ref="O46:P46"/>
    <mergeCell ref="Q46:R46"/>
    <mergeCell ref="S46:T46"/>
    <mergeCell ref="U46:V46"/>
    <mergeCell ref="O45:P45"/>
    <mergeCell ref="Q45:R45"/>
    <mergeCell ref="S44:T44"/>
    <mergeCell ref="U44:V44"/>
    <mergeCell ref="B43:K43"/>
    <mergeCell ref="M43:N43"/>
    <mergeCell ref="O43:P43"/>
    <mergeCell ref="Q43:R43"/>
    <mergeCell ref="S43:T43"/>
    <mergeCell ref="U43:V43"/>
    <mergeCell ref="S45:T45"/>
    <mergeCell ref="U45:V45"/>
    <mergeCell ref="T144:V144"/>
    <mergeCell ref="U148:V148"/>
    <mergeCell ref="B149:K149"/>
    <mergeCell ref="M149:N149"/>
    <mergeCell ref="O149:P149"/>
    <mergeCell ref="Q149:R149"/>
    <mergeCell ref="S149:T149"/>
    <mergeCell ref="U149:V149"/>
    <mergeCell ref="B140:H140"/>
    <mergeCell ref="B141:H141"/>
    <mergeCell ref="M141:N141"/>
    <mergeCell ref="O141:P141"/>
    <mergeCell ref="Q141:R141"/>
    <mergeCell ref="S141:T141"/>
    <mergeCell ref="U141:V141"/>
    <mergeCell ref="M140:N140"/>
    <mergeCell ref="O140:P140"/>
    <mergeCell ref="Q140:R140"/>
    <mergeCell ref="S140:T140"/>
    <mergeCell ref="U140:V140"/>
    <mergeCell ref="T145:V145"/>
    <mergeCell ref="B159:C159"/>
    <mergeCell ref="D159:H159"/>
    <mergeCell ref="J159:O159"/>
    <mergeCell ref="U150:V150"/>
    <mergeCell ref="B151:D151"/>
    <mergeCell ref="E151:K151"/>
    <mergeCell ref="M151:N151"/>
    <mergeCell ref="O151:P151"/>
    <mergeCell ref="Q151:R151"/>
    <mergeCell ref="S151:T151"/>
    <mergeCell ref="U151:V151"/>
    <mergeCell ref="B150:D150"/>
    <mergeCell ref="E150:K150"/>
    <mergeCell ref="M150:N150"/>
    <mergeCell ref="O150:P150"/>
    <mergeCell ref="Q150:R150"/>
    <mergeCell ref="S150:T150"/>
    <mergeCell ref="C154:J154"/>
    <mergeCell ref="U159:V159"/>
    <mergeCell ref="P159:T159"/>
    <mergeCell ref="T154:V154"/>
    <mergeCell ref="B158:C158"/>
    <mergeCell ref="D158:H158"/>
    <mergeCell ref="J158:O158"/>
    <mergeCell ref="O137:P137"/>
    <mergeCell ref="Q137:R137"/>
    <mergeCell ref="S137:T137"/>
    <mergeCell ref="U137:V137"/>
    <mergeCell ref="S139:T139"/>
    <mergeCell ref="Q115:R115"/>
    <mergeCell ref="S115:T115"/>
    <mergeCell ref="U115:V115"/>
    <mergeCell ref="M116:N116"/>
    <mergeCell ref="O116:P116"/>
    <mergeCell ref="Q116:R116"/>
    <mergeCell ref="S116:T116"/>
    <mergeCell ref="U116:V116"/>
    <mergeCell ref="U139:V139"/>
    <mergeCell ref="M139:N139"/>
    <mergeCell ref="O139:P139"/>
    <mergeCell ref="Q139:R139"/>
    <mergeCell ref="M138:N138"/>
    <mergeCell ref="O138:P138"/>
    <mergeCell ref="Q138:R138"/>
    <mergeCell ref="S138:T138"/>
    <mergeCell ref="U138:V138"/>
    <mergeCell ref="M137:N137"/>
    <mergeCell ref="M117:N117"/>
    <mergeCell ref="M88:N88"/>
    <mergeCell ref="O88:P88"/>
    <mergeCell ref="Q88:R88"/>
    <mergeCell ref="S88:T88"/>
    <mergeCell ref="U88:V88"/>
    <mergeCell ref="M91:N91"/>
    <mergeCell ref="O91:P91"/>
    <mergeCell ref="Q91:R91"/>
    <mergeCell ref="S91:T91"/>
    <mergeCell ref="U91:V91"/>
    <mergeCell ref="M89:N89"/>
    <mergeCell ref="O89:P89"/>
    <mergeCell ref="Q89:R89"/>
    <mergeCell ref="S89:T89"/>
    <mergeCell ref="M90:N90"/>
    <mergeCell ref="S81:T81"/>
    <mergeCell ref="U81:V81"/>
    <mergeCell ref="B75:P76"/>
    <mergeCell ref="Q75:R75"/>
    <mergeCell ref="S75:T75"/>
    <mergeCell ref="U75:V75"/>
    <mergeCell ref="Q76:R76"/>
    <mergeCell ref="S76:T76"/>
    <mergeCell ref="M96:N96"/>
    <mergeCell ref="O96:P96"/>
    <mergeCell ref="Q96:R96"/>
    <mergeCell ref="S96:T96"/>
    <mergeCell ref="U96:V96"/>
    <mergeCell ref="B86:K86"/>
    <mergeCell ref="M86:N86"/>
    <mergeCell ref="O86:P86"/>
    <mergeCell ref="Q86:R86"/>
    <mergeCell ref="S86:T86"/>
    <mergeCell ref="U86:V86"/>
    <mergeCell ref="B85:K85"/>
    <mergeCell ref="M85:N85"/>
    <mergeCell ref="O85:P85"/>
    <mergeCell ref="Q85:R85"/>
    <mergeCell ref="S85:T85"/>
    <mergeCell ref="B82:F82"/>
    <mergeCell ref="H82:I82"/>
    <mergeCell ref="K82:R82"/>
    <mergeCell ref="B83:F83"/>
    <mergeCell ref="H83:I83"/>
    <mergeCell ref="B40:K40"/>
    <mergeCell ref="M39:N39"/>
    <mergeCell ref="O39:P39"/>
    <mergeCell ref="Q39:R39"/>
    <mergeCell ref="B81:G81"/>
    <mergeCell ref="H81:I81"/>
    <mergeCell ref="K81:R81"/>
    <mergeCell ref="B44:K44"/>
    <mergeCell ref="M44:N44"/>
    <mergeCell ref="O44:P44"/>
    <mergeCell ref="Q44:R44"/>
    <mergeCell ref="B48:K48"/>
    <mergeCell ref="M48:N48"/>
    <mergeCell ref="O48:P48"/>
    <mergeCell ref="Q48:R48"/>
    <mergeCell ref="B50:K50"/>
    <mergeCell ref="M50:N50"/>
    <mergeCell ref="O50:P50"/>
    <mergeCell ref="Q50:R50"/>
    <mergeCell ref="S39:T39"/>
    <mergeCell ref="U39:V39"/>
    <mergeCell ref="M42:N42"/>
    <mergeCell ref="O42:P42"/>
    <mergeCell ref="Q42:R42"/>
    <mergeCell ref="S42:T42"/>
    <mergeCell ref="U42:V42"/>
    <mergeCell ref="U40:V40"/>
    <mergeCell ref="M41:N41"/>
    <mergeCell ref="O41:P41"/>
    <mergeCell ref="Q41:R41"/>
    <mergeCell ref="S41:T41"/>
    <mergeCell ref="M40:N40"/>
    <mergeCell ref="O40:P40"/>
    <mergeCell ref="Q40:R40"/>
    <mergeCell ref="S40:T40"/>
    <mergeCell ref="U41:V41"/>
    <mergeCell ref="U37:V37"/>
    <mergeCell ref="B38:K38"/>
    <mergeCell ref="M38:N38"/>
    <mergeCell ref="O38:P38"/>
    <mergeCell ref="Q38:R38"/>
    <mergeCell ref="S38:T38"/>
    <mergeCell ref="U38:V38"/>
    <mergeCell ref="B34:H34"/>
    <mergeCell ref="R34:S34"/>
    <mergeCell ref="T34:V34"/>
    <mergeCell ref="R36:S36"/>
    <mergeCell ref="T36:U36"/>
    <mergeCell ref="B37:K37"/>
    <mergeCell ref="M37:N37"/>
    <mergeCell ref="O37:P37"/>
    <mergeCell ref="Q37:R37"/>
    <mergeCell ref="S37:T37"/>
    <mergeCell ref="P31:Q31"/>
    <mergeCell ref="R31:S31"/>
    <mergeCell ref="T31:V31"/>
    <mergeCell ref="B32:H33"/>
    <mergeCell ref="R32:S32"/>
    <mergeCell ref="T32:V32"/>
    <mergeCell ref="R33:S33"/>
    <mergeCell ref="T33:V33"/>
    <mergeCell ref="U28:V28"/>
    <mergeCell ref="B29:N29"/>
    <mergeCell ref="P29:Q29"/>
    <mergeCell ref="R29:S29"/>
    <mergeCell ref="T29:V29"/>
    <mergeCell ref="B30:H31"/>
    <mergeCell ref="I30:N30"/>
    <mergeCell ref="P30:Q30"/>
    <mergeCell ref="R30:S30"/>
    <mergeCell ref="T30:V30"/>
    <mergeCell ref="B20:C20"/>
    <mergeCell ref="D20:H20"/>
    <mergeCell ref="I20:J20"/>
    <mergeCell ref="K20:L20"/>
    <mergeCell ref="N20:O20"/>
    <mergeCell ref="U20:V20"/>
    <mergeCell ref="B19:C19"/>
    <mergeCell ref="D19:H19"/>
    <mergeCell ref="I19:J19"/>
    <mergeCell ref="K19:L19"/>
    <mergeCell ref="N19:O19"/>
    <mergeCell ref="U19:V19"/>
    <mergeCell ref="U16:V16"/>
    <mergeCell ref="B15:C15"/>
    <mergeCell ref="D15:H15"/>
    <mergeCell ref="I15:J15"/>
    <mergeCell ref="K15:L15"/>
    <mergeCell ref="N15:O15"/>
    <mergeCell ref="U15:V15"/>
    <mergeCell ref="B18:C18"/>
    <mergeCell ref="D18:H18"/>
    <mergeCell ref="I18:J18"/>
    <mergeCell ref="K18:L18"/>
    <mergeCell ref="N18:O18"/>
    <mergeCell ref="U18:V18"/>
    <mergeCell ref="B17:C17"/>
    <mergeCell ref="D17:H17"/>
    <mergeCell ref="I17:J17"/>
    <mergeCell ref="K17:L17"/>
    <mergeCell ref="N17:O17"/>
    <mergeCell ref="U17:V17"/>
    <mergeCell ref="T2:V2"/>
    <mergeCell ref="G3:H3"/>
    <mergeCell ref="I3:N3"/>
    <mergeCell ref="O3:P3"/>
    <mergeCell ref="Q3:R3"/>
    <mergeCell ref="T3:V3"/>
    <mergeCell ref="G2:R2"/>
    <mergeCell ref="F161:H165"/>
    <mergeCell ref="B164:E164"/>
    <mergeCell ref="B12:C12"/>
    <mergeCell ref="D12:H12"/>
    <mergeCell ref="I12:J12"/>
    <mergeCell ref="K12:L12"/>
    <mergeCell ref="N12:O12"/>
    <mergeCell ref="U12:V12"/>
    <mergeCell ref="R5:S5"/>
    <mergeCell ref="U5:V5"/>
    <mergeCell ref="F6:K6"/>
    <mergeCell ref="Q11:V11"/>
    <mergeCell ref="M6:N6"/>
    <mergeCell ref="Q6:V6"/>
    <mergeCell ref="Q7:V7"/>
    <mergeCell ref="B14:C14"/>
    <mergeCell ref="D14:H14"/>
    <mergeCell ref="B24:D24"/>
    <mergeCell ref="E24:L24"/>
    <mergeCell ref="D26:H26"/>
    <mergeCell ref="K26:O26"/>
    <mergeCell ref="R26:V26"/>
    <mergeCell ref="F7:K7"/>
    <mergeCell ref="D8:V9"/>
    <mergeCell ref="J113:K113"/>
    <mergeCell ref="J114:K114"/>
    <mergeCell ref="I14:J14"/>
    <mergeCell ref="K14:L14"/>
    <mergeCell ref="N14:O14"/>
    <mergeCell ref="U14:V14"/>
    <mergeCell ref="B13:C13"/>
    <mergeCell ref="D13:H13"/>
    <mergeCell ref="I13:J13"/>
    <mergeCell ref="K13:L13"/>
    <mergeCell ref="N13:O13"/>
    <mergeCell ref="U13:V13"/>
    <mergeCell ref="B16:C16"/>
    <mergeCell ref="D16:H16"/>
    <mergeCell ref="I16:J16"/>
    <mergeCell ref="K16:L16"/>
    <mergeCell ref="N16:O16"/>
    <mergeCell ref="G4:H4"/>
    <mergeCell ref="J137:K137"/>
    <mergeCell ref="J138:K138"/>
    <mergeCell ref="J139:K139"/>
    <mergeCell ref="J140:K140"/>
    <mergeCell ref="J141:K141"/>
    <mergeCell ref="J118:K118"/>
    <mergeCell ref="J119:K119"/>
    <mergeCell ref="J120:K120"/>
    <mergeCell ref="J121:K121"/>
    <mergeCell ref="J122:K122"/>
    <mergeCell ref="J123:K123"/>
    <mergeCell ref="J124:K124"/>
    <mergeCell ref="J125:K125"/>
    <mergeCell ref="J126:K126"/>
    <mergeCell ref="J128:K128"/>
    <mergeCell ref="J129:K129"/>
    <mergeCell ref="J130:K130"/>
    <mergeCell ref="J131:K131"/>
    <mergeCell ref="J132:K132"/>
    <mergeCell ref="J133:K133"/>
    <mergeCell ref="J127:K127"/>
    <mergeCell ref="B88:K88"/>
    <mergeCell ref="B90:K90"/>
  </mergeCells>
  <conditionalFormatting sqref="Q14:Q19">
    <cfRule type="expression" dxfId="0" priority="1">
      <formula>$Q$20&lt;&gt;$Q$22</formula>
    </cfRule>
  </conditionalFormatting>
  <dataValidations count="9">
    <dataValidation type="date" operator="greaterThanOrEqual" allowBlank="1" showInputMessage="1" showErrorMessage="1" error="Saisir une date supérieure ou égale à la date précédente" sqref="U5:V5" xr:uid="{00000000-0002-0000-0200-000000000000}">
      <formula1>R5</formula1>
    </dataValidation>
    <dataValidation type="list" allowBlank="1" showInputMessage="1" showErrorMessage="1" errorTitle="&lt;&lt;Attention&gt;&gt;" error="Veuillez utiliser la liste déroulante." sqref="H82:I83" xr:uid="{00000000-0002-0000-0200-000001000000}">
      <formula1>vehicule</formula1>
    </dataValidation>
    <dataValidation type="list" allowBlank="1" showInputMessage="1" showErrorMessage="1" errorTitle="&lt;&lt;Attention&gt;&gt;" error="Cela fait pas parti de la liste." sqref="K82:K83" xr:uid="{00000000-0002-0000-0200-000002000000}">
      <formula1>pays</formula1>
    </dataValidation>
    <dataValidation type="list" errorStyle="warning" showInputMessage="1" showErrorMessage="1" sqref="D13:H21" xr:uid="{00000000-0002-0000-0200-000003000000}">
      <formula1>pays</formula1>
    </dataValidation>
    <dataValidation type="time" allowBlank="1" showInputMessage="1" showErrorMessage="1" error="Format de l'heure obligatoire : hh:mm" sqref="M14:M20 P13:P19" xr:uid="{00000000-0002-0000-0200-000004000000}">
      <formula1>0</formula1>
      <formula2>0.999305555555556</formula2>
    </dataValidation>
    <dataValidation type="custom" allowBlank="1" showInputMessage="1" showErrorMessage="1" errorTitle="Heures de départ et d'arrivée" error="Merci de bien vouloir saisir l'heure de départ de début de mission et l'heure d'arrivée de fin de mission" sqref="S114:T141 R30:S34 S38:T71 S75:T76 S82:T83 S86:T108" xr:uid="{00000000-0002-0000-0200-000005000000}">
      <formula1>AND(COUNTA($P$13),COUNTA($M$20))</formula1>
    </dataValidation>
    <dataValidation allowBlank="1" showInputMessage="1" showErrorMessage="1" error="Merci de saisir des dates de congés pendant la mission" sqref="E22:F22 K22:L22 N22:O22 H22:I22" xr:uid="{00000000-0002-0000-0200-000006000000}"/>
    <dataValidation type="list" allowBlank="1" showInputMessage="1" showErrorMessage="1" sqref="E24:L24" xr:uid="{00000000-0002-0000-0200-000007000000}">
      <formula1>pays</formula1>
    </dataValidation>
    <dataValidation type="textLength" allowBlank="1" showInputMessage="1" showErrorMessage="1" error="Valeur comprise entre 7 et 9 Caractères Alphanumériques" sqref="K26:O26" xr:uid="{0E8102C2-EFCE-442F-A86E-C715543D5C23}">
      <formula1>7</formula1>
      <formula2>9</formula2>
    </dataValidation>
  </dataValidations>
  <hyperlinks>
    <hyperlink ref="C154" r:id="rId1" display="http://intranet-dcaf.cirad.fr/comptabilite/devise_3.php" xr:uid="{00000000-0004-0000-0200-000000000000}"/>
    <hyperlink ref="C144:F144" location="'Mention CNIL'!A1" display="Mention CNIL" xr:uid="{00000000-0004-0000-0200-000001000000}"/>
    <hyperlink ref="C154:J154" r:id="rId2" display="Taux de Change" xr:uid="{00000000-0004-0000-0200-000002000000}"/>
    <hyperlink ref="C145:F145" location="'Mention CNIL'!A1" display="Mention CNIL" xr:uid="{00000000-0004-0000-0200-000003000000}"/>
  </hyperlinks>
  <printOptions horizontalCentered="1"/>
  <pageMargins left="0" right="0" top="0.98425196850393704" bottom="0" header="0.31496062992125984" footer="0.31496062992125984"/>
  <pageSetup paperSize="9" scale="62" fitToHeight="2" orientation="portrait" cellComments="asDisplayed" r:id="rId3"/>
  <drawing r:id="rId4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8000000}">
          <x14:formula1>
            <xm:f>'Liste Structure'!$C$2:$C$129</xm:f>
          </x14:formula1>
          <xm:sqref>D26:H26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8"/>
  <sheetViews>
    <sheetView showGridLines="0" workbookViewId="0">
      <selection activeCell="A13" sqref="A13"/>
    </sheetView>
  </sheetViews>
  <sheetFormatPr defaultColWidth="11.44140625" defaultRowHeight="14.4" x14ac:dyDescent="0.3"/>
  <sheetData>
    <row r="1" spans="2:10" ht="18" x14ac:dyDescent="0.35">
      <c r="B1" s="160"/>
    </row>
    <row r="2" spans="2:10" ht="18" x14ac:dyDescent="0.35">
      <c r="B2" s="160"/>
    </row>
    <row r="3" spans="2:10" ht="18" x14ac:dyDescent="0.35">
      <c r="B3" s="160" t="s">
        <v>492</v>
      </c>
    </row>
    <row r="5" spans="2:10" ht="15" customHeight="1" x14ac:dyDescent="0.3"/>
    <row r="6" spans="2:10" ht="15" customHeight="1" x14ac:dyDescent="0.3"/>
    <row r="7" spans="2:10" ht="15" customHeight="1" x14ac:dyDescent="0.3"/>
    <row r="8" spans="2:10" ht="15" customHeight="1" x14ac:dyDescent="0.3">
      <c r="B8" s="736" t="s">
        <v>493</v>
      </c>
      <c r="C8" s="736"/>
      <c r="D8" s="736"/>
      <c r="E8" s="736"/>
      <c r="F8" s="736"/>
      <c r="G8" s="736"/>
      <c r="H8" s="736"/>
      <c r="I8" s="736"/>
      <c r="J8" s="736"/>
    </row>
    <row r="9" spans="2:10" ht="15" customHeight="1" x14ac:dyDescent="0.3">
      <c r="B9" s="736"/>
      <c r="C9" s="736"/>
      <c r="D9" s="736"/>
      <c r="E9" s="736"/>
      <c r="F9" s="736"/>
      <c r="G9" s="736"/>
      <c r="H9" s="736"/>
      <c r="I9" s="736"/>
      <c r="J9" s="736"/>
    </row>
    <row r="10" spans="2:10" ht="15" customHeight="1" x14ac:dyDescent="0.3">
      <c r="B10" s="736"/>
      <c r="C10" s="736"/>
      <c r="D10" s="736"/>
      <c r="E10" s="736"/>
      <c r="F10" s="736"/>
      <c r="G10" s="736"/>
      <c r="H10" s="736"/>
      <c r="I10" s="736"/>
      <c r="J10" s="736"/>
    </row>
    <row r="11" spans="2:10" ht="15" customHeight="1" x14ac:dyDescent="0.3">
      <c r="B11" s="736"/>
      <c r="C11" s="736"/>
      <c r="D11" s="736"/>
      <c r="E11" s="736"/>
      <c r="F11" s="736"/>
      <c r="G11" s="736"/>
      <c r="H11" s="736"/>
      <c r="I11" s="736"/>
      <c r="J11" s="736"/>
    </row>
    <row r="12" spans="2:10" ht="15" customHeight="1" x14ac:dyDescent="0.3">
      <c r="B12" s="736"/>
      <c r="C12" s="736"/>
      <c r="D12" s="736"/>
      <c r="E12" s="736"/>
      <c r="F12" s="736"/>
      <c r="G12" s="736"/>
      <c r="H12" s="736"/>
      <c r="I12" s="736"/>
      <c r="J12" s="736"/>
    </row>
    <row r="13" spans="2:10" ht="15" customHeight="1" x14ac:dyDescent="0.3">
      <c r="B13" s="736"/>
      <c r="C13" s="736"/>
      <c r="D13" s="736"/>
      <c r="E13" s="736"/>
      <c r="F13" s="736"/>
      <c r="G13" s="736"/>
      <c r="H13" s="736"/>
      <c r="I13" s="736"/>
      <c r="J13" s="736"/>
    </row>
    <row r="14" spans="2:10" x14ac:dyDescent="0.3">
      <c r="B14" s="736"/>
      <c r="C14" s="736"/>
      <c r="D14" s="736"/>
      <c r="E14" s="736"/>
      <c r="F14" s="736"/>
      <c r="G14" s="736"/>
      <c r="H14" s="736"/>
      <c r="I14" s="736"/>
      <c r="J14" s="736"/>
    </row>
    <row r="15" spans="2:10" x14ac:dyDescent="0.3">
      <c r="B15" s="736"/>
      <c r="C15" s="736"/>
      <c r="D15" s="736"/>
      <c r="E15" s="736"/>
      <c r="F15" s="736"/>
      <c r="G15" s="736"/>
      <c r="H15" s="736"/>
      <c r="I15" s="736"/>
      <c r="J15" s="736"/>
    </row>
    <row r="16" spans="2:10" x14ac:dyDescent="0.3">
      <c r="B16" s="736"/>
      <c r="C16" s="736"/>
      <c r="D16" s="736"/>
      <c r="E16" s="736"/>
      <c r="F16" s="736"/>
      <c r="G16" s="736"/>
      <c r="H16" s="736"/>
      <c r="I16" s="736"/>
      <c r="J16" s="736"/>
    </row>
    <row r="17" spans="1:10" x14ac:dyDescent="0.3">
      <c r="B17" s="736"/>
      <c r="C17" s="736"/>
      <c r="D17" s="736"/>
      <c r="E17" s="736"/>
      <c r="F17" s="736"/>
      <c r="G17" s="736"/>
      <c r="H17" s="736"/>
      <c r="I17" s="736"/>
      <c r="J17" s="736"/>
    </row>
    <row r="18" spans="1:10" x14ac:dyDescent="0.3">
      <c r="B18" s="736"/>
      <c r="C18" s="736"/>
      <c r="D18" s="736"/>
      <c r="E18" s="736"/>
      <c r="F18" s="736"/>
      <c r="G18" s="736"/>
      <c r="H18" s="736"/>
      <c r="I18" s="736"/>
      <c r="J18" s="736"/>
    </row>
    <row r="19" spans="1:10" x14ac:dyDescent="0.3">
      <c r="B19" s="736"/>
      <c r="C19" s="736"/>
      <c r="D19" s="736"/>
      <c r="E19" s="736"/>
      <c r="F19" s="736"/>
      <c r="G19" s="736"/>
      <c r="H19" s="736"/>
      <c r="I19" s="736"/>
      <c r="J19" s="736"/>
    </row>
    <row r="20" spans="1:10" x14ac:dyDescent="0.3">
      <c r="B20" s="161"/>
      <c r="C20" s="161"/>
      <c r="D20" s="161"/>
      <c r="E20" s="161"/>
      <c r="F20" s="161"/>
      <c r="G20" s="161"/>
      <c r="H20" s="161"/>
      <c r="I20" s="161"/>
      <c r="J20" s="161"/>
    </row>
    <row r="24" spans="1:10" x14ac:dyDescent="0.3">
      <c r="A24" s="362" t="s">
        <v>5</v>
      </c>
      <c r="B24" s="363"/>
      <c r="C24" s="1"/>
      <c r="D24" s="22"/>
      <c r="E24" s="22"/>
      <c r="F24" s="22"/>
      <c r="G24" s="22"/>
      <c r="H24" s="22"/>
      <c r="I24" s="22"/>
    </row>
    <row r="26" spans="1:10" ht="15" customHeight="1" x14ac:dyDescent="0.3">
      <c r="B26" s="338" t="s">
        <v>475</v>
      </c>
      <c r="C26" s="338"/>
      <c r="D26" s="338"/>
      <c r="E26" s="338"/>
      <c r="F26" s="338"/>
      <c r="G26" s="338"/>
      <c r="H26" s="22"/>
      <c r="I26" s="22"/>
    </row>
    <row r="27" spans="1:10" x14ac:dyDescent="0.3">
      <c r="B27" s="338"/>
      <c r="C27" s="338"/>
      <c r="D27" s="338"/>
      <c r="E27" s="338"/>
      <c r="F27" s="338"/>
      <c r="G27" s="338"/>
      <c r="H27" s="22"/>
      <c r="I27" s="22"/>
    </row>
    <row r="28" spans="1:10" x14ac:dyDescent="0.3">
      <c r="B28" s="338"/>
      <c r="C28" s="338"/>
      <c r="D28" s="338"/>
      <c r="E28" s="338"/>
      <c r="F28" s="338"/>
      <c r="G28" s="338"/>
    </row>
  </sheetData>
  <sheetProtection algorithmName="SHA-512" hashValue="F028KhRn/5BPxGrwHDsj/U275x2WoNKvrV/Q5kxOKOAeD4NSqbdoGkhtow8p4sNYc61sgRtaNyAXPgLeSD4D4A==" saltValue="8WOGGXXQvuGotfQQM/uEjg==" spinCount="100000" sheet="1" objects="1" scenarios="1"/>
  <mergeCells count="3">
    <mergeCell ref="B8:J19"/>
    <mergeCell ref="A24:B24"/>
    <mergeCell ref="B26:G28"/>
  </mergeCells>
  <hyperlinks>
    <hyperlink ref="A24" r:id="rId1" xr:uid="{00000000-0004-0000-0300-000000000000}"/>
  </hyperlinks>
  <pageMargins left="0.7" right="0.7" top="0.75" bottom="0.75" header="0.3" footer="0.3"/>
  <pageSetup paperSize="9" orientation="portrait" verticalDpi="0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3"/>
  <sheetViews>
    <sheetView zoomScale="150" zoomScaleNormal="150" workbookViewId="0">
      <selection activeCell="T3" sqref="T3"/>
    </sheetView>
  </sheetViews>
  <sheetFormatPr defaultColWidth="8.88671875" defaultRowHeight="14.4" x14ac:dyDescent="0.3"/>
  <cols>
    <col min="1" max="1" width="25" style="179" customWidth="1"/>
    <col min="2" max="3" width="17.33203125" style="179" bestFit="1" customWidth="1"/>
    <col min="4" max="4" width="13" style="179" bestFit="1" customWidth="1"/>
    <col min="5" max="5" width="18.88671875" style="179" bestFit="1" customWidth="1"/>
    <col min="6" max="7" width="17.33203125" style="179" bestFit="1" customWidth="1"/>
    <col min="8" max="9" width="12.88671875" style="179" bestFit="1" customWidth="1"/>
    <col min="10" max="10" width="31.33203125" style="179" bestFit="1" customWidth="1"/>
    <col min="11" max="11" width="18.109375" style="179" bestFit="1" customWidth="1"/>
    <col min="12" max="12" width="23.44140625" style="179" customWidth="1"/>
    <col min="13" max="13" width="16.33203125" style="179" bestFit="1" customWidth="1"/>
    <col min="14" max="16" width="13" style="179" bestFit="1" customWidth="1"/>
    <col min="17" max="17" width="20.109375" style="179" customWidth="1"/>
    <col min="18" max="18" width="12.44140625" style="179" bestFit="1" customWidth="1"/>
    <col min="19" max="19" width="13.88671875" style="179" bestFit="1" customWidth="1"/>
    <col min="20" max="21" width="15.33203125" style="179" bestFit="1" customWidth="1"/>
    <col min="22" max="16384" width="8.88671875" style="179"/>
  </cols>
  <sheetData>
    <row r="1" spans="1:22" s="177" customFormat="1" x14ac:dyDescent="0.3">
      <c r="A1" s="177" t="s">
        <v>554</v>
      </c>
      <c r="B1" s="177" t="s">
        <v>555</v>
      </c>
      <c r="C1" s="177" t="s">
        <v>556</v>
      </c>
      <c r="D1" s="177" t="s">
        <v>557</v>
      </c>
      <c r="E1" s="177" t="s">
        <v>558</v>
      </c>
      <c r="F1" s="177" t="s">
        <v>556</v>
      </c>
      <c r="G1" s="177" t="s">
        <v>559</v>
      </c>
      <c r="H1" s="177" t="s">
        <v>560</v>
      </c>
      <c r="I1" s="177" t="s">
        <v>561</v>
      </c>
      <c r="J1" s="177" t="s">
        <v>562</v>
      </c>
      <c r="K1" s="177" t="s">
        <v>563</v>
      </c>
      <c r="L1" s="177" t="s">
        <v>564</v>
      </c>
      <c r="M1" s="177" t="s">
        <v>565</v>
      </c>
      <c r="N1" s="177" t="s">
        <v>566</v>
      </c>
      <c r="O1" s="177" t="s">
        <v>567</v>
      </c>
      <c r="P1" s="177" t="s">
        <v>568</v>
      </c>
      <c r="Q1" s="177" t="s">
        <v>569</v>
      </c>
      <c r="R1" s="177" t="s">
        <v>570</v>
      </c>
      <c r="S1" s="177" t="s">
        <v>571</v>
      </c>
      <c r="T1" s="177" t="s">
        <v>603</v>
      </c>
      <c r="U1" s="177" t="s">
        <v>607</v>
      </c>
      <c r="V1" s="177" t="s">
        <v>1762</v>
      </c>
    </row>
    <row r="2" spans="1:22" s="178" customFormat="1" ht="28.8" x14ac:dyDescent="0.3">
      <c r="A2" s="178" t="s">
        <v>572</v>
      </c>
      <c r="B2" s="178" t="s">
        <v>573</v>
      </c>
      <c r="C2" s="178" t="s">
        <v>574</v>
      </c>
      <c r="D2" s="178" t="s">
        <v>575</v>
      </c>
      <c r="E2" s="178" t="s">
        <v>576</v>
      </c>
      <c r="F2" s="178" t="s">
        <v>574</v>
      </c>
      <c r="G2" s="178" t="s">
        <v>577</v>
      </c>
      <c r="H2" s="178" t="s">
        <v>417</v>
      </c>
      <c r="I2" s="178" t="s">
        <v>417</v>
      </c>
      <c r="J2" s="178" t="s">
        <v>578</v>
      </c>
      <c r="K2" s="178" t="s">
        <v>579</v>
      </c>
      <c r="L2" s="178" t="s">
        <v>580</v>
      </c>
      <c r="M2" s="178" t="s">
        <v>581</v>
      </c>
      <c r="N2" s="178" t="s">
        <v>582</v>
      </c>
      <c r="O2" s="178" t="s">
        <v>583</v>
      </c>
      <c r="P2" s="178" t="s">
        <v>584</v>
      </c>
      <c r="Q2" s="178" t="s">
        <v>585</v>
      </c>
      <c r="R2" s="178" t="s">
        <v>586</v>
      </c>
      <c r="S2" s="178" t="s">
        <v>587</v>
      </c>
      <c r="T2" s="178" t="s">
        <v>527</v>
      </c>
      <c r="U2" s="178" t="s">
        <v>528</v>
      </c>
      <c r="V2" s="178" t="s">
        <v>1763</v>
      </c>
    </row>
    <row r="3" spans="1:22" x14ac:dyDescent="0.3">
      <c r="A3" s="179" t="str">
        <f>ODM!W5</f>
        <v>A10821-24-111</v>
      </c>
      <c r="B3" s="179" t="str">
        <f>VLOOKUP(ODM!D27,Pays!$A$2:$O$254,15,FALSE)</f>
        <v>NL</v>
      </c>
      <c r="C3" s="179" t="str">
        <f>VLOOKUP(ODM!P11,Pays!$A$2:$O$252,15,FALSE)</f>
        <v>FR</v>
      </c>
      <c r="D3" s="179" t="str">
        <f>"P"&amp;ODM!D7</f>
        <v>P30392</v>
      </c>
      <c r="E3" s="180">
        <f ca="1">IF(ISBLANK(ODM!O93),TODAY(),ODM!O93)</f>
        <v>45336</v>
      </c>
      <c r="F3" s="179" t="str">
        <f>VLOOKUP(ODM!P11,Pays!$A$2:$O$252,15,FALSE)</f>
        <v>FR</v>
      </c>
      <c r="G3" s="179" t="str">
        <f>VLOOKUP(ODM!F11,Pays!$A$2:$O$252,15,FALSE)</f>
        <v>FR</v>
      </c>
      <c r="H3" s="180">
        <f>ODM!N16</f>
        <v>45345</v>
      </c>
      <c r="I3" s="180">
        <f>ODM!L23</f>
        <v>45351</v>
      </c>
      <c r="K3" s="211">
        <f>ODM!Q55</f>
        <v>400</v>
      </c>
      <c r="L3" s="211">
        <f>IF(ODM!Q56=0,"",ODM!Q56)</f>
        <v>400</v>
      </c>
      <c r="M3" s="211" t="str">
        <f>IF(ODM!Q57=0,"",ODM!Q57)</f>
        <v/>
      </c>
      <c r="N3" s="179" t="str">
        <f>ODM!W29</f>
        <v>A10821</v>
      </c>
      <c r="O3" s="179" t="str">
        <f>ODM!X29</f>
        <v>C19966L01</v>
      </c>
      <c r="P3" s="179" t="str">
        <f>ODM!Y29</f>
        <v>NL</v>
      </c>
      <c r="Q3" s="147" t="str">
        <f>N3&amp;REPT(" ",(7-LEN(N3)))&amp;O3&amp;REPT(" ",(10-LEN(O3)))&amp;P3</f>
        <v>A10821 C19966L01 NL</v>
      </c>
      <c r="R3" s="179" t="s">
        <v>593</v>
      </c>
      <c r="S3" s="179" t="s">
        <v>594</v>
      </c>
      <c r="T3" s="179" t="str">
        <f>IF(ODM!O54=0,"",ROUND(ODM!O54,0))</f>
        <v/>
      </c>
      <c r="U3" s="179" t="str">
        <f>IF(ODM!M54=0,"",ROUND(ODM!M54,0))</f>
        <v/>
      </c>
      <c r="V3" s="179">
        <f>IFERROR(VLOOKUP(ODM!J7,'autres ldv'!J48:N55,5,0),"")</f>
        <v>200</v>
      </c>
    </row>
  </sheetData>
  <sheetProtection algorithmName="SHA-512" hashValue="GvyB7JhXT61Kh5zOHzYRVYA/GMJrw3hojC6DBMdic/wFJ9yUlwrWlxpLF48uw8jH5Zzv/i+69FHn64dX3tQQEw==" saltValue="ib4yvcSRATccGwB35FS6iw==" spinCount="100000" sheet="1" objects="1" scenarios="1" selectLockedCells="1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W3"/>
  <sheetViews>
    <sheetView zoomScale="150" zoomScaleNormal="150" workbookViewId="0">
      <selection activeCell="AV3" sqref="AV3"/>
    </sheetView>
  </sheetViews>
  <sheetFormatPr defaultColWidth="8.88671875" defaultRowHeight="14.4" x14ac:dyDescent="0.3"/>
  <cols>
    <col min="1" max="1" width="22.44140625" style="179" customWidth="1"/>
    <col min="2" max="3" width="13" style="179" bestFit="1" customWidth="1"/>
    <col min="4" max="4" width="12.88671875" style="179" bestFit="1" customWidth="1"/>
    <col min="5" max="6" width="13" style="179" bestFit="1" customWidth="1"/>
    <col min="7" max="7" width="12.88671875" style="179" bestFit="1" customWidth="1"/>
    <col min="8" max="8" width="14.88671875" style="179" customWidth="1"/>
    <col min="9" max="9" width="12.88671875" style="179" bestFit="1" customWidth="1"/>
    <col min="10" max="10" width="14" style="179" customWidth="1"/>
    <col min="11" max="11" width="12.6640625" style="179" bestFit="1" customWidth="1"/>
    <col min="12" max="12" width="12.6640625" style="179" customWidth="1"/>
    <col min="13" max="13" width="12.33203125" style="179" customWidth="1"/>
    <col min="14" max="17" width="13.109375" style="179" bestFit="1" customWidth="1"/>
    <col min="18" max="20" width="13" style="179" bestFit="1" customWidth="1"/>
    <col min="21" max="21" width="17" style="179" bestFit="1" customWidth="1"/>
    <col min="22" max="23" width="12.6640625" style="179" bestFit="1" customWidth="1"/>
    <col min="24" max="25" width="13.109375" style="179" bestFit="1" customWidth="1"/>
    <col min="26" max="27" width="12.6640625" style="179" bestFit="1" customWidth="1"/>
    <col min="28" max="29" width="13.109375" style="179" bestFit="1" customWidth="1"/>
    <col min="30" max="31" width="12.6640625" style="179" bestFit="1" customWidth="1"/>
    <col min="32" max="33" width="13.109375" style="179" bestFit="1" customWidth="1"/>
    <col min="34" max="35" width="12.6640625" style="179" bestFit="1" customWidth="1"/>
    <col min="36" max="37" width="13.109375" style="179" bestFit="1" customWidth="1"/>
    <col min="38" max="39" width="12.6640625" style="179" bestFit="1" customWidth="1"/>
    <col min="40" max="41" width="13.109375" style="179" bestFit="1" customWidth="1"/>
    <col min="42" max="44" width="12.6640625" style="179" bestFit="1" customWidth="1"/>
    <col min="45" max="45" width="13.109375" style="179" bestFit="1" customWidth="1"/>
    <col min="46" max="46" width="11" style="179" customWidth="1"/>
    <col min="47" max="47" width="12.44140625" style="179" bestFit="1" customWidth="1"/>
    <col min="48" max="48" width="12.6640625" style="179" bestFit="1" customWidth="1"/>
    <col min="49" max="16384" width="8.88671875" style="179"/>
  </cols>
  <sheetData>
    <row r="1" spans="1:49" s="177" customFormat="1" ht="20.100000000000001" customHeight="1" x14ac:dyDescent="0.3">
      <c r="A1" s="177" t="s">
        <v>554</v>
      </c>
      <c r="B1" s="177" t="s">
        <v>555</v>
      </c>
      <c r="C1" s="177" t="s">
        <v>557</v>
      </c>
      <c r="D1" s="177" t="s">
        <v>558</v>
      </c>
      <c r="E1" s="177" t="s">
        <v>556</v>
      </c>
      <c r="F1" s="177" t="s">
        <v>559</v>
      </c>
      <c r="G1" s="177" t="s">
        <v>560</v>
      </c>
      <c r="H1" s="177" t="s">
        <v>561</v>
      </c>
      <c r="I1" s="177" t="s">
        <v>595</v>
      </c>
      <c r="J1" s="177" t="s">
        <v>596</v>
      </c>
      <c r="K1" s="177" t="s">
        <v>562</v>
      </c>
      <c r="L1" s="177" t="s">
        <v>597</v>
      </c>
      <c r="M1" s="177" t="s">
        <v>563</v>
      </c>
      <c r="N1" s="177" t="s">
        <v>598</v>
      </c>
      <c r="O1" s="177" t="s">
        <v>564</v>
      </c>
      <c r="P1" s="177" t="s">
        <v>599</v>
      </c>
      <c r="Q1" s="177" t="s">
        <v>565</v>
      </c>
      <c r="R1" s="177" t="s">
        <v>566</v>
      </c>
      <c r="S1" s="177" t="s">
        <v>567</v>
      </c>
      <c r="T1" s="177" t="s">
        <v>568</v>
      </c>
      <c r="U1" s="177" t="s">
        <v>569</v>
      </c>
      <c r="V1" s="177" t="s">
        <v>600</v>
      </c>
      <c r="W1" s="177" t="s">
        <v>601</v>
      </c>
      <c r="X1" s="177" t="s">
        <v>602</v>
      </c>
      <c r="Y1" s="177" t="s">
        <v>603</v>
      </c>
      <c r="Z1" s="177" t="s">
        <v>604</v>
      </c>
      <c r="AA1" s="177" t="s">
        <v>605</v>
      </c>
      <c r="AB1" s="177" t="s">
        <v>606</v>
      </c>
      <c r="AC1" s="177" t="s">
        <v>607</v>
      </c>
      <c r="AD1" s="177" t="s">
        <v>608</v>
      </c>
      <c r="AE1" s="177" t="s">
        <v>609</v>
      </c>
      <c r="AF1" s="177" t="s">
        <v>610</v>
      </c>
      <c r="AG1" s="177" t="s">
        <v>611</v>
      </c>
      <c r="AH1" s="177" t="s">
        <v>612</v>
      </c>
      <c r="AI1" s="177" t="s">
        <v>613</v>
      </c>
      <c r="AJ1" s="177" t="s">
        <v>614</v>
      </c>
      <c r="AK1" s="177" t="s">
        <v>615</v>
      </c>
      <c r="AL1" s="177" t="s">
        <v>616</v>
      </c>
      <c r="AM1" s="177" t="s">
        <v>617</v>
      </c>
      <c r="AN1" s="177" t="s">
        <v>618</v>
      </c>
      <c r="AO1" s="177" t="s">
        <v>619</v>
      </c>
      <c r="AP1" s="177" t="s">
        <v>620</v>
      </c>
      <c r="AQ1" s="177" t="s">
        <v>621</v>
      </c>
      <c r="AR1" s="177" t="s">
        <v>622</v>
      </c>
      <c r="AS1" s="177" t="s">
        <v>623</v>
      </c>
      <c r="AT1" s="177" t="s">
        <v>624</v>
      </c>
      <c r="AU1" s="177" t="s">
        <v>570</v>
      </c>
      <c r="AV1" s="177" t="s">
        <v>571</v>
      </c>
      <c r="AW1" s="177" t="s">
        <v>1762</v>
      </c>
    </row>
    <row r="2" spans="1:49" s="178" customFormat="1" ht="43.2" x14ac:dyDescent="0.3">
      <c r="A2" s="178" t="s">
        <v>572</v>
      </c>
      <c r="B2" s="178" t="s">
        <v>573</v>
      </c>
      <c r="C2" s="178" t="s">
        <v>575</v>
      </c>
      <c r="D2" s="178" t="s">
        <v>625</v>
      </c>
      <c r="E2" s="178" t="s">
        <v>574</v>
      </c>
      <c r="F2" s="178" t="s">
        <v>577</v>
      </c>
      <c r="G2" s="178" t="s">
        <v>626</v>
      </c>
      <c r="H2" s="178" t="s">
        <v>417</v>
      </c>
      <c r="I2" s="178" t="s">
        <v>627</v>
      </c>
      <c r="J2" s="178" t="s">
        <v>417</v>
      </c>
      <c r="K2" s="178" t="s">
        <v>578</v>
      </c>
      <c r="L2" s="178" t="s">
        <v>628</v>
      </c>
      <c r="M2" s="178" t="s">
        <v>629</v>
      </c>
      <c r="N2" s="178" t="s">
        <v>630</v>
      </c>
      <c r="O2" s="178" t="s">
        <v>631</v>
      </c>
      <c r="P2" s="178" t="s">
        <v>632</v>
      </c>
      <c r="Q2" s="178" t="s">
        <v>633</v>
      </c>
      <c r="R2" s="178" t="s">
        <v>582</v>
      </c>
      <c r="S2" s="178" t="s">
        <v>583</v>
      </c>
      <c r="T2" s="178" t="s">
        <v>584</v>
      </c>
      <c r="U2" s="178" t="s">
        <v>634</v>
      </c>
      <c r="V2" s="178" t="s">
        <v>499</v>
      </c>
      <c r="W2" s="178" t="s">
        <v>636</v>
      </c>
      <c r="X2" s="178" t="s">
        <v>637</v>
      </c>
      <c r="Y2" s="178" t="s">
        <v>638</v>
      </c>
      <c r="Z2" s="178" t="s">
        <v>500</v>
      </c>
      <c r="AA2" s="178" t="s">
        <v>639</v>
      </c>
      <c r="AB2" s="178" t="s">
        <v>640</v>
      </c>
      <c r="AC2" s="178" t="s">
        <v>641</v>
      </c>
      <c r="AD2" s="178" t="s">
        <v>501</v>
      </c>
      <c r="AE2" s="178" t="s">
        <v>642</v>
      </c>
      <c r="AF2" s="178" t="s">
        <v>643</v>
      </c>
      <c r="AG2" s="178" t="s">
        <v>644</v>
      </c>
      <c r="AH2" s="178" t="s">
        <v>502</v>
      </c>
      <c r="AI2" s="178" t="s">
        <v>645</v>
      </c>
      <c r="AJ2" s="178" t="s">
        <v>646</v>
      </c>
      <c r="AK2" s="178" t="s">
        <v>647</v>
      </c>
      <c r="AL2" s="178" t="s">
        <v>503</v>
      </c>
      <c r="AM2" s="178" t="s">
        <v>648</v>
      </c>
      <c r="AN2" s="178" t="s">
        <v>649</v>
      </c>
      <c r="AO2" s="178" t="s">
        <v>650</v>
      </c>
      <c r="AP2" s="178" t="s">
        <v>504</v>
      </c>
      <c r="AQ2" s="178" t="s">
        <v>651</v>
      </c>
      <c r="AR2" s="178" t="s">
        <v>652</v>
      </c>
      <c r="AS2" s="178" t="s">
        <v>653</v>
      </c>
      <c r="AT2" s="178" t="s">
        <v>635</v>
      </c>
      <c r="AU2" s="178" t="s">
        <v>586</v>
      </c>
      <c r="AV2" s="178" t="s">
        <v>587</v>
      </c>
      <c r="AW2" s="283" t="s">
        <v>1763</v>
      </c>
    </row>
    <row r="3" spans="1:49" x14ac:dyDescent="0.3">
      <c r="A3" s="179" t="str">
        <f>ODM!W5</f>
        <v>A10821-24-111</v>
      </c>
      <c r="B3" s="179" t="str">
        <f>VLOOKUP(NDF!E24,Pays!$A$2:$O$254,15,FALSE)</f>
        <v>NL</v>
      </c>
      <c r="C3" s="179" t="str">
        <f>"P"&amp;ODM!D7</f>
        <v>P30392</v>
      </c>
      <c r="D3" s="180">
        <f ca="1">IF(ISBLANK(NDF!U159),TODAY(),NDF!U159)</f>
        <v>45376</v>
      </c>
      <c r="E3" s="179" t="str">
        <f>VLOOKUP(ODM!P11,Pays!$A$2:$O$252,15,FALSE)</f>
        <v>FR</v>
      </c>
      <c r="F3" s="179" t="str">
        <f>VLOOKUP(ODM!F11,Pays!$A$2:$O$252,15,FALSE)</f>
        <v>FR</v>
      </c>
      <c r="G3" s="180">
        <f>NDF!N13</f>
        <v>45345</v>
      </c>
      <c r="H3" s="180">
        <f>NDF!K20</f>
        <v>45351</v>
      </c>
      <c r="I3" s="180">
        <f>NDF!E22</f>
        <v>45346</v>
      </c>
      <c r="J3" s="180">
        <f>NDF!H22</f>
        <v>45347</v>
      </c>
      <c r="K3" s="179" t="str">
        <f>IF(NDF!P162="","",NDF!P162)</f>
        <v/>
      </c>
      <c r="L3" s="211">
        <f>ROUND(NDF!U160,2)</f>
        <v>0</v>
      </c>
      <c r="M3" s="211">
        <f>IF(NDF!$U28=0,"",NDF!$U28)</f>
        <v>135.57999999999998</v>
      </c>
      <c r="N3" s="211" t="str">
        <f>IF(NDF!$U112=0,"",NDF!$U112)</f>
        <v/>
      </c>
      <c r="O3" s="211">
        <f>IF(NDF!$U80=0,"",NDF!$U80)</f>
        <v>42.8</v>
      </c>
      <c r="P3" s="211" t="str">
        <f>IF(NDF!$T154=0,"",NDF!$T154)</f>
        <v/>
      </c>
      <c r="Q3" s="211">
        <f>NDF!U28+NDF!U80+NDF!U112-NDF!T154</f>
        <v>178.38</v>
      </c>
      <c r="R3" s="274" t="str">
        <f>NDF!$AB6</f>
        <v>A10821</v>
      </c>
      <c r="S3" s="211" t="str">
        <f>NDF!AB7</f>
        <v>C19966L01</v>
      </c>
      <c r="T3" s="211" t="str">
        <f>NDF!$AB8</f>
        <v>NL</v>
      </c>
      <c r="U3" s="147" t="str">
        <f>R3&amp;REPT(" ",(7-LEN(R3)))&amp;S3&amp;REPT(" ",(10-LEN(S3)))&amp;T3</f>
        <v>A10821 C19966L01 NL</v>
      </c>
      <c r="V3" s="211" t="str">
        <f>NDF!$Y14</f>
        <v>FR</v>
      </c>
      <c r="W3" s="211">
        <f>NDF!$R14</f>
        <v>1</v>
      </c>
      <c r="X3" s="211">
        <f>NDF!$S14</f>
        <v>0</v>
      </c>
      <c r="Y3" s="211">
        <f>NDF!U14</f>
        <v>0</v>
      </c>
      <c r="Z3" s="211" t="str">
        <f>NDF!$Y15</f>
        <v>NL</v>
      </c>
      <c r="AA3" s="211">
        <f>NDF!$R15</f>
        <v>3</v>
      </c>
      <c r="AB3" s="211">
        <f>NDF!$S15</f>
        <v>0</v>
      </c>
      <c r="AC3" s="211">
        <f>NDF!$U15</f>
        <v>0</v>
      </c>
      <c r="AD3" s="211" t="str">
        <f>NDF!$Y16</f>
        <v/>
      </c>
      <c r="AE3" s="211" t="str">
        <f>NDF!$R16</f>
        <v/>
      </c>
      <c r="AF3" s="211" t="str">
        <f>NDF!$S16</f>
        <v/>
      </c>
      <c r="AG3" s="211" t="str">
        <f>NDF!$U16</f>
        <v/>
      </c>
      <c r="AH3" s="211" t="str">
        <f>NDF!$Y17</f>
        <v/>
      </c>
      <c r="AI3" s="211" t="str">
        <f>NDF!$R17</f>
        <v/>
      </c>
      <c r="AJ3" s="211" t="str">
        <f>NDF!$S17</f>
        <v/>
      </c>
      <c r="AK3" s="211" t="str">
        <f>NDF!$U17</f>
        <v/>
      </c>
      <c r="AL3" s="211" t="str">
        <f>NDF!$Y18</f>
        <v/>
      </c>
      <c r="AM3" s="211" t="str">
        <f>NDF!$R18</f>
        <v/>
      </c>
      <c r="AN3" s="211" t="str">
        <f>NDF!$S18</f>
        <v/>
      </c>
      <c r="AO3" s="211" t="str">
        <f>NDF!$U18</f>
        <v/>
      </c>
      <c r="AP3" s="211" t="str">
        <f>NDF!$Y19</f>
        <v/>
      </c>
      <c r="AQ3" s="211" t="str">
        <f>NDF!$S19</f>
        <v/>
      </c>
      <c r="AR3" s="211" t="str">
        <f>NDF!$R19</f>
        <v/>
      </c>
      <c r="AS3" s="211" t="str">
        <f>NDF!$U19</f>
        <v/>
      </c>
      <c r="AT3" s="274" t="str">
        <f>LEFT(ODM!J7,30)</f>
        <v>Doctorant Cirad</v>
      </c>
      <c r="AU3" s="179" t="s">
        <v>593</v>
      </c>
      <c r="AV3" s="179" t="s">
        <v>662</v>
      </c>
      <c r="AW3" s="179">
        <f>IFERROR(VLOOKUP(NDF!Q6,'autres ldv'!J48:N55,5,0),"")</f>
        <v>200</v>
      </c>
    </row>
  </sheetData>
  <sheetProtection algorithmName="SHA-512" hashValue="rJsudcrK7QlCjknl9NU9J0YoeleeCAHc0XWk//5UDuzNFN8ojyR8cTH0MzFFT8rSHVkB1KjSAb2HU6j4Kpxvjg==" saltValue="lf9pSzICBbauI1pxNA86hg==" spinCount="100000" sheet="1" objects="1" scenarios="1" selectLockedCells="1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260"/>
  <sheetViews>
    <sheetView workbookViewId="0">
      <pane xSplit="2" ySplit="1" topLeftCell="C65" activePane="bottomRight" state="frozen"/>
      <selection pane="topRight" activeCell="C1" sqref="C1"/>
      <selection pane="bottomLeft" activeCell="A2" sqref="A2"/>
      <selection pane="bottomRight" activeCell="D171" sqref="D171"/>
    </sheetView>
  </sheetViews>
  <sheetFormatPr defaultColWidth="11.44140625" defaultRowHeight="13.8" x14ac:dyDescent="0.25"/>
  <cols>
    <col min="1" max="1" width="32.109375" style="300" bestFit="1" customWidth="1"/>
    <col min="2" max="2" width="25.44140625" style="300" bestFit="1" customWidth="1"/>
    <col min="3" max="3" width="8" style="305" customWidth="1"/>
    <col min="4" max="8" width="10.44140625" style="300" customWidth="1"/>
    <col min="9" max="10" width="9" style="300" customWidth="1"/>
    <col min="11" max="11" width="14" style="300" customWidth="1"/>
    <col min="12" max="12" width="12.88671875" style="300" customWidth="1"/>
    <col min="13" max="16384" width="11.44140625" style="300"/>
  </cols>
  <sheetData>
    <row r="1" spans="1:18" s="313" customFormat="1" ht="118.8" x14ac:dyDescent="0.3">
      <c r="A1" s="309"/>
      <c r="B1" s="298" t="s">
        <v>465</v>
      </c>
      <c r="C1" s="298" t="s">
        <v>464</v>
      </c>
      <c r="D1" s="298" t="s">
        <v>540</v>
      </c>
      <c r="E1" s="298" t="s">
        <v>541</v>
      </c>
      <c r="F1" s="298" t="s">
        <v>542</v>
      </c>
      <c r="G1" s="298" t="s">
        <v>543</v>
      </c>
      <c r="H1" s="298" t="s">
        <v>544</v>
      </c>
      <c r="I1" s="298" t="s">
        <v>516</v>
      </c>
      <c r="J1" s="298" t="s">
        <v>517</v>
      </c>
      <c r="K1" s="298" t="s">
        <v>447</v>
      </c>
      <c r="L1" s="298" t="s">
        <v>1764</v>
      </c>
      <c r="M1" s="310" t="s">
        <v>430</v>
      </c>
      <c r="N1" s="311" t="s">
        <v>545</v>
      </c>
      <c r="O1" s="312" t="s">
        <v>670</v>
      </c>
      <c r="R1" s="313" t="s">
        <v>1564</v>
      </c>
    </row>
    <row r="2" spans="1:18" x14ac:dyDescent="0.25">
      <c r="A2" s="299" t="s">
        <v>1563</v>
      </c>
      <c r="B2" s="300" t="s">
        <v>420</v>
      </c>
      <c r="C2" s="301" t="s">
        <v>448</v>
      </c>
      <c r="D2" s="284">
        <v>0</v>
      </c>
      <c r="E2" s="284">
        <v>0.25</v>
      </c>
      <c r="F2" s="284">
        <v>0.25</v>
      </c>
      <c r="G2" s="284">
        <v>0.3</v>
      </c>
      <c r="H2" s="284">
        <v>0.3</v>
      </c>
      <c r="I2" s="302">
        <v>52.9</v>
      </c>
      <c r="J2" s="302"/>
      <c r="K2" s="303">
        <v>118</v>
      </c>
      <c r="L2" s="284">
        <v>0</v>
      </c>
      <c r="M2" s="304" t="s">
        <v>428</v>
      </c>
      <c r="N2" s="300">
        <v>4</v>
      </c>
      <c r="O2" s="300" t="s">
        <v>588</v>
      </c>
      <c r="R2" s="300" t="s">
        <v>1563</v>
      </c>
    </row>
    <row r="3" spans="1:18" x14ac:dyDescent="0.25">
      <c r="A3" s="299" t="s">
        <v>179</v>
      </c>
      <c r="B3" s="300" t="s">
        <v>463</v>
      </c>
      <c r="C3" s="301" t="s">
        <v>448</v>
      </c>
      <c r="D3" s="284">
        <v>0.3</v>
      </c>
      <c r="E3" s="284">
        <v>0.3</v>
      </c>
      <c r="F3" s="284">
        <v>0.3</v>
      </c>
      <c r="G3" s="284">
        <v>0.35</v>
      </c>
      <c r="H3" s="284">
        <v>0</v>
      </c>
      <c r="I3" s="302">
        <v>52.9</v>
      </c>
      <c r="J3" s="302"/>
      <c r="K3" s="303">
        <v>140</v>
      </c>
      <c r="L3" s="284" t="s">
        <v>546</v>
      </c>
      <c r="M3" s="304" t="s">
        <v>323</v>
      </c>
      <c r="N3" s="300">
        <v>8</v>
      </c>
      <c r="O3" s="300" t="s">
        <v>663</v>
      </c>
      <c r="R3" s="300" t="s">
        <v>179</v>
      </c>
    </row>
    <row r="4" spans="1:18" x14ac:dyDescent="0.25">
      <c r="A4" s="299" t="s">
        <v>94</v>
      </c>
      <c r="B4" s="300" t="s">
        <v>463</v>
      </c>
      <c r="C4" s="301" t="s">
        <v>448</v>
      </c>
      <c r="D4" s="284">
        <v>0.25</v>
      </c>
      <c r="E4" s="284">
        <v>0.2</v>
      </c>
      <c r="F4" s="284">
        <v>0</v>
      </c>
      <c r="G4" s="284">
        <v>0.25</v>
      </c>
      <c r="H4" s="284">
        <v>0.3</v>
      </c>
      <c r="I4" s="302">
        <v>52.9</v>
      </c>
      <c r="J4" s="302"/>
      <c r="K4" s="303">
        <v>143</v>
      </c>
      <c r="L4" s="284" t="s">
        <v>546</v>
      </c>
      <c r="M4" s="304" t="s">
        <v>323</v>
      </c>
      <c r="N4" s="300">
        <v>6</v>
      </c>
      <c r="O4" s="300" t="s">
        <v>657</v>
      </c>
      <c r="R4" s="300" t="s">
        <v>94</v>
      </c>
    </row>
    <row r="5" spans="1:18" x14ac:dyDescent="0.25">
      <c r="A5" s="299" t="s">
        <v>140</v>
      </c>
      <c r="B5" s="300" t="s">
        <v>463</v>
      </c>
      <c r="C5" s="301" t="s">
        <v>448</v>
      </c>
      <c r="D5" s="284">
        <v>0.25</v>
      </c>
      <c r="E5" s="284">
        <v>0</v>
      </c>
      <c r="F5" s="284">
        <v>0.2</v>
      </c>
      <c r="G5" s="284">
        <v>0.25</v>
      </c>
      <c r="H5" s="284">
        <v>0.3</v>
      </c>
      <c r="I5" s="302">
        <v>52.9</v>
      </c>
      <c r="J5" s="302"/>
      <c r="K5" s="303">
        <v>143</v>
      </c>
      <c r="L5" s="284" t="s">
        <v>546</v>
      </c>
      <c r="M5" s="304" t="s">
        <v>323</v>
      </c>
      <c r="N5" s="300">
        <v>5</v>
      </c>
      <c r="O5" s="300" t="s">
        <v>795</v>
      </c>
      <c r="R5" s="300" t="s">
        <v>140</v>
      </c>
    </row>
    <row r="6" spans="1:18" x14ac:dyDescent="0.25">
      <c r="A6" s="299" t="s">
        <v>99</v>
      </c>
      <c r="B6" s="300" t="s">
        <v>463</v>
      </c>
      <c r="C6" s="301" t="s">
        <v>448</v>
      </c>
      <c r="D6" s="284">
        <v>0.3</v>
      </c>
      <c r="E6" s="284">
        <v>0.25</v>
      </c>
      <c r="F6" s="284">
        <v>0.25</v>
      </c>
      <c r="G6" s="284">
        <v>0</v>
      </c>
      <c r="H6" s="284">
        <v>0.35</v>
      </c>
      <c r="I6" s="302">
        <v>52.9</v>
      </c>
      <c r="J6" s="302"/>
      <c r="K6" s="303">
        <v>150</v>
      </c>
      <c r="L6" s="284" t="s">
        <v>546</v>
      </c>
      <c r="M6" s="304" t="s">
        <v>323</v>
      </c>
      <c r="N6" s="300">
        <v>7</v>
      </c>
      <c r="O6" s="300" t="s">
        <v>751</v>
      </c>
      <c r="R6" s="300" t="s">
        <v>99</v>
      </c>
    </row>
    <row r="7" spans="1:18" x14ac:dyDescent="0.25">
      <c r="A7" s="299" t="s">
        <v>142</v>
      </c>
      <c r="B7" s="300" t="s">
        <v>463</v>
      </c>
      <c r="C7" s="301" t="s">
        <v>448</v>
      </c>
      <c r="D7" s="284">
        <v>0.33</v>
      </c>
      <c r="E7" s="284" t="s">
        <v>546</v>
      </c>
      <c r="F7" s="284">
        <v>0.34</v>
      </c>
      <c r="G7" s="284" t="s">
        <v>546</v>
      </c>
      <c r="H7" s="284">
        <v>0.3</v>
      </c>
      <c r="I7" s="302">
        <v>52.9</v>
      </c>
      <c r="J7" s="302"/>
      <c r="K7" s="303">
        <v>161</v>
      </c>
      <c r="L7" s="284" t="s">
        <v>546</v>
      </c>
      <c r="M7" s="304" t="s">
        <v>431</v>
      </c>
      <c r="N7" s="300">
        <v>12</v>
      </c>
      <c r="O7" s="300" t="s">
        <v>798</v>
      </c>
      <c r="R7" s="300" t="s">
        <v>142</v>
      </c>
    </row>
    <row r="8" spans="1:18" x14ac:dyDescent="0.25">
      <c r="A8" s="299" t="s">
        <v>16</v>
      </c>
      <c r="C8" s="301" t="s">
        <v>448</v>
      </c>
      <c r="D8" s="284" t="s">
        <v>546</v>
      </c>
      <c r="E8" s="284" t="s">
        <v>546</v>
      </c>
      <c r="F8" s="284" t="s">
        <v>546</v>
      </c>
      <c r="G8" s="284" t="s">
        <v>546</v>
      </c>
      <c r="H8" s="284" t="s">
        <v>546</v>
      </c>
      <c r="I8" s="302"/>
      <c r="J8" s="302"/>
      <c r="K8" s="303">
        <v>0</v>
      </c>
      <c r="L8" s="284" t="s">
        <v>546</v>
      </c>
      <c r="M8" s="304" t="s">
        <v>431</v>
      </c>
      <c r="O8" s="300" t="s">
        <v>664</v>
      </c>
    </row>
    <row r="9" spans="1:18" x14ac:dyDescent="0.25">
      <c r="A9" s="299" t="s">
        <v>17</v>
      </c>
      <c r="B9" s="300" t="s">
        <v>454</v>
      </c>
      <c r="C9" s="301" t="s">
        <v>448</v>
      </c>
      <c r="D9" s="284">
        <v>0.39</v>
      </c>
      <c r="E9" s="284" t="s">
        <v>546</v>
      </c>
      <c r="F9" s="284">
        <v>0.42</v>
      </c>
      <c r="G9" s="284" t="s">
        <v>546</v>
      </c>
      <c r="H9" s="284">
        <v>0.4</v>
      </c>
      <c r="I9" s="302">
        <v>38.200000000000003</v>
      </c>
      <c r="J9" s="302"/>
      <c r="K9" s="303">
        <v>64</v>
      </c>
      <c r="L9" s="284" t="s">
        <v>546</v>
      </c>
      <c r="M9" s="304" t="s">
        <v>431</v>
      </c>
      <c r="O9" s="300" t="s">
        <v>671</v>
      </c>
    </row>
    <row r="10" spans="1:18" x14ac:dyDescent="0.25">
      <c r="A10" s="299" t="s">
        <v>18</v>
      </c>
      <c r="B10" s="300" t="s">
        <v>420</v>
      </c>
      <c r="C10" s="301"/>
      <c r="D10" s="284">
        <v>0</v>
      </c>
      <c r="E10" s="284">
        <v>0</v>
      </c>
      <c r="F10" s="284">
        <v>0</v>
      </c>
      <c r="G10" s="284">
        <v>0</v>
      </c>
      <c r="H10" s="284">
        <v>0</v>
      </c>
      <c r="I10" s="302"/>
      <c r="J10" s="302"/>
      <c r="K10" s="303">
        <v>100</v>
      </c>
      <c r="L10" s="284">
        <v>0</v>
      </c>
      <c r="M10" s="304" t="s">
        <v>431</v>
      </c>
      <c r="O10" s="300" t="s">
        <v>590</v>
      </c>
    </row>
    <row r="11" spans="1:18" x14ac:dyDescent="0.25">
      <c r="A11" s="299" t="s">
        <v>19</v>
      </c>
      <c r="B11" s="300" t="s">
        <v>450</v>
      </c>
      <c r="C11" s="301" t="s">
        <v>448</v>
      </c>
      <c r="D11" s="284">
        <v>0.43</v>
      </c>
      <c r="E11" s="284" t="s">
        <v>546</v>
      </c>
      <c r="F11" s="284" t="s">
        <v>546</v>
      </c>
      <c r="G11" s="284" t="s">
        <v>546</v>
      </c>
      <c r="H11" s="284" t="s">
        <v>546</v>
      </c>
      <c r="I11" s="302"/>
      <c r="J11" s="302"/>
      <c r="K11" s="303">
        <v>75</v>
      </c>
      <c r="L11" s="284" t="s">
        <v>546</v>
      </c>
      <c r="M11" s="304" t="s">
        <v>431</v>
      </c>
      <c r="O11" s="300" t="s">
        <v>673</v>
      </c>
    </row>
    <row r="12" spans="1:18" x14ac:dyDescent="0.25">
      <c r="A12" s="299" t="s">
        <v>20</v>
      </c>
      <c r="B12" s="300" t="s">
        <v>420</v>
      </c>
      <c r="C12" s="301" t="s">
        <v>448</v>
      </c>
      <c r="D12" s="284">
        <v>0</v>
      </c>
      <c r="E12" s="284">
        <v>0</v>
      </c>
      <c r="F12" s="284">
        <v>0</v>
      </c>
      <c r="G12" s="284">
        <v>0</v>
      </c>
      <c r="H12" s="284">
        <v>0</v>
      </c>
      <c r="I12" s="302"/>
      <c r="J12" s="302"/>
      <c r="K12" s="303">
        <v>100</v>
      </c>
      <c r="L12" s="284">
        <v>0</v>
      </c>
      <c r="M12" s="304" t="s">
        <v>431</v>
      </c>
      <c r="O12" s="300" t="s">
        <v>674</v>
      </c>
    </row>
    <row r="13" spans="1:18" x14ac:dyDescent="0.25">
      <c r="A13" s="299" t="s">
        <v>21</v>
      </c>
      <c r="B13" s="300" t="s">
        <v>420</v>
      </c>
      <c r="C13" s="301" t="s">
        <v>448</v>
      </c>
      <c r="D13" s="284">
        <v>0</v>
      </c>
      <c r="E13" s="284">
        <v>0</v>
      </c>
      <c r="F13" s="284">
        <v>0</v>
      </c>
      <c r="G13" s="284">
        <v>0</v>
      </c>
      <c r="H13" s="284">
        <v>0</v>
      </c>
      <c r="I13" s="302"/>
      <c r="J13" s="302"/>
      <c r="K13" s="303">
        <v>100</v>
      </c>
      <c r="L13" s="284">
        <v>0</v>
      </c>
      <c r="M13" s="304" t="s">
        <v>431</v>
      </c>
      <c r="O13" s="300" t="s">
        <v>675</v>
      </c>
    </row>
    <row r="14" spans="1:18" x14ac:dyDescent="0.25">
      <c r="A14" s="299" t="s">
        <v>22</v>
      </c>
      <c r="B14" s="300" t="s">
        <v>454</v>
      </c>
      <c r="C14" s="301" t="s">
        <v>448</v>
      </c>
      <c r="D14" s="284" t="s">
        <v>546</v>
      </c>
      <c r="E14" s="284" t="s">
        <v>546</v>
      </c>
      <c r="F14" s="284" t="s">
        <v>546</v>
      </c>
      <c r="G14" s="284" t="s">
        <v>546</v>
      </c>
      <c r="H14" s="284" t="s">
        <v>546</v>
      </c>
      <c r="I14" s="302"/>
      <c r="J14" s="302"/>
      <c r="K14" s="303">
        <v>75</v>
      </c>
      <c r="L14" s="284">
        <v>0</v>
      </c>
      <c r="M14" s="304" t="s">
        <v>431</v>
      </c>
      <c r="O14" s="300" t="s">
        <v>676</v>
      </c>
    </row>
    <row r="15" spans="1:18" x14ac:dyDescent="0.25">
      <c r="A15" s="299" t="s">
        <v>23</v>
      </c>
      <c r="C15" s="301"/>
      <c r="D15" s="284" t="s">
        <v>546</v>
      </c>
      <c r="E15" s="284" t="s">
        <v>546</v>
      </c>
      <c r="F15" s="284" t="s">
        <v>546</v>
      </c>
      <c r="G15" s="284" t="s">
        <v>546</v>
      </c>
      <c r="H15" s="284" t="s">
        <v>546</v>
      </c>
      <c r="I15" s="302"/>
      <c r="J15" s="302"/>
      <c r="K15" s="303">
        <v>0</v>
      </c>
      <c r="L15" s="284">
        <v>0</v>
      </c>
      <c r="M15" s="304" t="s">
        <v>431</v>
      </c>
      <c r="O15" s="300" t="s">
        <v>677</v>
      </c>
    </row>
    <row r="16" spans="1:18" x14ac:dyDescent="0.25">
      <c r="A16" s="299" t="s">
        <v>24</v>
      </c>
      <c r="C16" s="301"/>
      <c r="D16" s="284" t="s">
        <v>546</v>
      </c>
      <c r="E16" s="284" t="s">
        <v>546</v>
      </c>
      <c r="F16" s="284" t="s">
        <v>546</v>
      </c>
      <c r="G16" s="284" t="s">
        <v>546</v>
      </c>
      <c r="H16" s="284" t="s">
        <v>546</v>
      </c>
      <c r="I16" s="302"/>
      <c r="J16" s="302"/>
      <c r="K16" s="303">
        <v>0</v>
      </c>
      <c r="L16" s="284">
        <v>0</v>
      </c>
      <c r="M16" s="304" t="s">
        <v>431</v>
      </c>
      <c r="O16" s="300" t="s">
        <v>678</v>
      </c>
    </row>
    <row r="17" spans="1:15" x14ac:dyDescent="0.25">
      <c r="A17" s="299" t="s">
        <v>25</v>
      </c>
      <c r="B17" s="300" t="s">
        <v>459</v>
      </c>
      <c r="C17" s="301" t="s">
        <v>448</v>
      </c>
      <c r="D17" s="284" t="s">
        <v>546</v>
      </c>
      <c r="E17" s="284" t="s">
        <v>546</v>
      </c>
      <c r="F17" s="284" t="s">
        <v>546</v>
      </c>
      <c r="G17" s="284" t="s">
        <v>546</v>
      </c>
      <c r="H17" s="284" t="s">
        <v>546</v>
      </c>
      <c r="I17" s="302"/>
      <c r="J17" s="302"/>
      <c r="K17" s="303">
        <v>75</v>
      </c>
      <c r="L17" s="284">
        <v>0</v>
      </c>
      <c r="M17" s="304" t="s">
        <v>431</v>
      </c>
      <c r="O17" s="300" t="s">
        <v>679</v>
      </c>
    </row>
    <row r="18" spans="1:15" x14ac:dyDescent="0.25">
      <c r="A18" s="299" t="s">
        <v>26</v>
      </c>
      <c r="B18" s="300" t="s">
        <v>459</v>
      </c>
      <c r="C18" s="301" t="s">
        <v>448</v>
      </c>
      <c r="D18" s="284" t="s">
        <v>546</v>
      </c>
      <c r="E18" s="284" t="s">
        <v>546</v>
      </c>
      <c r="F18" s="284" t="s">
        <v>546</v>
      </c>
      <c r="G18" s="284" t="s">
        <v>546</v>
      </c>
      <c r="H18" s="284" t="s">
        <v>546</v>
      </c>
      <c r="I18" s="302"/>
      <c r="J18" s="302"/>
      <c r="K18" s="303">
        <v>75</v>
      </c>
      <c r="L18" s="284">
        <v>0</v>
      </c>
      <c r="M18" s="304" t="s">
        <v>431</v>
      </c>
      <c r="O18" s="300" t="s">
        <v>665</v>
      </c>
    </row>
    <row r="19" spans="1:15" x14ac:dyDescent="0.25">
      <c r="A19" s="299" t="s">
        <v>27</v>
      </c>
      <c r="B19" s="300" t="s">
        <v>450</v>
      </c>
      <c r="C19" s="301" t="s">
        <v>448</v>
      </c>
      <c r="D19" s="284">
        <v>0.43</v>
      </c>
      <c r="E19" s="284" t="s">
        <v>546</v>
      </c>
      <c r="F19" s="284" t="s">
        <v>546</v>
      </c>
      <c r="G19" s="284" t="s">
        <v>546</v>
      </c>
      <c r="H19" s="284" t="s">
        <v>546</v>
      </c>
      <c r="I19" s="302"/>
      <c r="J19" s="302"/>
      <c r="K19" s="303">
        <v>77</v>
      </c>
      <c r="L19" s="284">
        <v>0</v>
      </c>
      <c r="M19" s="304" t="s">
        <v>431</v>
      </c>
      <c r="O19" s="300" t="s">
        <v>680</v>
      </c>
    </row>
    <row r="20" spans="1:15" x14ac:dyDescent="0.25">
      <c r="A20" s="299" t="s">
        <v>28</v>
      </c>
      <c r="B20" s="300" t="s">
        <v>460</v>
      </c>
      <c r="C20" s="301" t="s">
        <v>448</v>
      </c>
      <c r="D20" s="284">
        <v>0.34</v>
      </c>
      <c r="E20" s="284" t="s">
        <v>546</v>
      </c>
      <c r="F20" s="284" t="s">
        <v>546</v>
      </c>
      <c r="G20" s="284" t="s">
        <v>546</v>
      </c>
      <c r="H20" s="284" t="s">
        <v>546</v>
      </c>
      <c r="I20" s="302"/>
      <c r="J20" s="302"/>
      <c r="K20" s="303">
        <v>69</v>
      </c>
      <c r="L20" s="284">
        <v>0</v>
      </c>
      <c r="M20" s="304" t="s">
        <v>431</v>
      </c>
      <c r="O20" s="300" t="s">
        <v>591</v>
      </c>
    </row>
    <row r="21" spans="1:15" x14ac:dyDescent="0.25">
      <c r="A21" s="299" t="s">
        <v>29</v>
      </c>
      <c r="B21" s="300" t="s">
        <v>419</v>
      </c>
      <c r="C21" s="301" t="s">
        <v>448</v>
      </c>
      <c r="D21" s="284" t="s">
        <v>546</v>
      </c>
      <c r="E21" s="284" t="s">
        <v>546</v>
      </c>
      <c r="F21" s="284" t="s">
        <v>546</v>
      </c>
      <c r="G21" s="284" t="s">
        <v>546</v>
      </c>
      <c r="H21" s="284" t="s">
        <v>546</v>
      </c>
      <c r="I21" s="302"/>
      <c r="J21" s="302"/>
      <c r="K21" s="303">
        <v>75</v>
      </c>
      <c r="L21" s="284">
        <v>0</v>
      </c>
      <c r="M21" s="304" t="s">
        <v>431</v>
      </c>
      <c r="O21" s="300" t="s">
        <v>681</v>
      </c>
    </row>
    <row r="22" spans="1:15" x14ac:dyDescent="0.25">
      <c r="A22" s="299" t="s">
        <v>30</v>
      </c>
      <c r="C22" s="301"/>
      <c r="D22" s="284" t="s">
        <v>546</v>
      </c>
      <c r="E22" s="284" t="s">
        <v>546</v>
      </c>
      <c r="F22" s="284" t="s">
        <v>546</v>
      </c>
      <c r="G22" s="284" t="s">
        <v>546</v>
      </c>
      <c r="H22" s="284" t="s">
        <v>546</v>
      </c>
      <c r="I22" s="302"/>
      <c r="J22" s="302"/>
      <c r="K22" s="303">
        <v>0</v>
      </c>
      <c r="L22" s="284">
        <v>0</v>
      </c>
      <c r="M22" s="304" t="s">
        <v>431</v>
      </c>
      <c r="O22" s="300" t="s">
        <v>682</v>
      </c>
    </row>
    <row r="23" spans="1:15" x14ac:dyDescent="0.25">
      <c r="A23" s="299" t="s">
        <v>31</v>
      </c>
      <c r="B23" s="300" t="s">
        <v>461</v>
      </c>
      <c r="C23" s="301" t="s">
        <v>448</v>
      </c>
      <c r="D23" s="284">
        <v>0.08</v>
      </c>
      <c r="E23" s="284" t="s">
        <v>546</v>
      </c>
      <c r="F23" s="284" t="s">
        <v>546</v>
      </c>
      <c r="G23" s="284" t="s">
        <v>546</v>
      </c>
      <c r="H23" s="284">
        <v>7.0000000000000007E-2</v>
      </c>
      <c r="I23" s="302">
        <v>42.3</v>
      </c>
      <c r="J23" s="302"/>
      <c r="K23" s="303">
        <v>210</v>
      </c>
      <c r="L23" s="284">
        <v>0</v>
      </c>
      <c r="M23" s="304" t="s">
        <v>431</v>
      </c>
      <c r="O23" s="300" t="s">
        <v>666</v>
      </c>
    </row>
    <row r="24" spans="1:15" x14ac:dyDescent="0.25">
      <c r="A24" s="299" t="s">
        <v>32</v>
      </c>
      <c r="B24" s="300" t="s">
        <v>420</v>
      </c>
      <c r="C24" s="301" t="s">
        <v>448</v>
      </c>
      <c r="D24" s="284">
        <v>0</v>
      </c>
      <c r="E24" s="284">
        <v>0</v>
      </c>
      <c r="F24" s="284">
        <v>0</v>
      </c>
      <c r="G24" s="284">
        <v>0</v>
      </c>
      <c r="H24" s="284">
        <v>0</v>
      </c>
      <c r="I24" s="302"/>
      <c r="J24" s="302"/>
      <c r="K24" s="303">
        <v>110</v>
      </c>
      <c r="L24" s="284">
        <v>0</v>
      </c>
      <c r="M24" s="304" t="s">
        <v>431</v>
      </c>
      <c r="O24" s="300" t="s">
        <v>683</v>
      </c>
    </row>
    <row r="25" spans="1:15" x14ac:dyDescent="0.25">
      <c r="A25" s="299" t="s">
        <v>33</v>
      </c>
      <c r="B25" s="300" t="s">
        <v>420</v>
      </c>
      <c r="C25" s="301" t="s">
        <v>448</v>
      </c>
      <c r="D25" s="284">
        <v>0</v>
      </c>
      <c r="E25" s="284">
        <v>0</v>
      </c>
      <c r="F25" s="284">
        <v>0</v>
      </c>
      <c r="G25" s="284">
        <v>0</v>
      </c>
      <c r="H25" s="284">
        <v>0</v>
      </c>
      <c r="I25" s="302"/>
      <c r="J25" s="302"/>
      <c r="K25" s="303">
        <v>100</v>
      </c>
      <c r="L25" s="284">
        <v>0</v>
      </c>
      <c r="M25" s="304" t="s">
        <v>431</v>
      </c>
      <c r="O25" s="300" t="s">
        <v>667</v>
      </c>
    </row>
    <row r="26" spans="1:15" x14ac:dyDescent="0.25">
      <c r="A26" s="299" t="s">
        <v>34</v>
      </c>
      <c r="B26" s="300" t="s">
        <v>459</v>
      </c>
      <c r="C26" s="301"/>
      <c r="D26" s="284" t="s">
        <v>546</v>
      </c>
      <c r="E26" s="284" t="s">
        <v>546</v>
      </c>
      <c r="F26" s="284" t="s">
        <v>546</v>
      </c>
      <c r="G26" s="284" t="s">
        <v>546</v>
      </c>
      <c r="H26" s="284" t="s">
        <v>546</v>
      </c>
      <c r="I26" s="302"/>
      <c r="J26" s="302"/>
      <c r="K26" s="303">
        <v>0</v>
      </c>
      <c r="L26" s="284">
        <v>0</v>
      </c>
      <c r="M26" s="304" t="s">
        <v>431</v>
      </c>
      <c r="O26" s="300" t="s">
        <v>684</v>
      </c>
    </row>
    <row r="27" spans="1:15" x14ac:dyDescent="0.25">
      <c r="A27" s="299" t="s">
        <v>35</v>
      </c>
      <c r="B27" s="300" t="s">
        <v>450</v>
      </c>
      <c r="C27" s="301" t="s">
        <v>448</v>
      </c>
      <c r="D27" s="284" t="s">
        <v>546</v>
      </c>
      <c r="E27" s="284" t="s">
        <v>546</v>
      </c>
      <c r="F27" s="284" t="s">
        <v>546</v>
      </c>
      <c r="G27" s="284" t="s">
        <v>546</v>
      </c>
      <c r="H27" s="284" t="s">
        <v>546</v>
      </c>
      <c r="I27" s="302"/>
      <c r="J27" s="302"/>
      <c r="K27" s="303">
        <v>75</v>
      </c>
      <c r="L27" s="284">
        <v>0</v>
      </c>
      <c r="M27" s="304" t="s">
        <v>431</v>
      </c>
      <c r="O27" s="300" t="s">
        <v>685</v>
      </c>
    </row>
    <row r="28" spans="1:15" x14ac:dyDescent="0.25">
      <c r="A28" s="299" t="s">
        <v>36</v>
      </c>
      <c r="B28" s="300" t="s">
        <v>419</v>
      </c>
      <c r="C28" s="301" t="s">
        <v>448</v>
      </c>
      <c r="D28" s="284" t="s">
        <v>546</v>
      </c>
      <c r="E28" s="284" t="s">
        <v>546</v>
      </c>
      <c r="F28" s="284" t="s">
        <v>546</v>
      </c>
      <c r="G28" s="284" t="s">
        <v>546</v>
      </c>
      <c r="H28" s="284" t="s">
        <v>546</v>
      </c>
      <c r="I28" s="302"/>
      <c r="J28" s="302"/>
      <c r="K28" s="303">
        <v>75</v>
      </c>
      <c r="L28" s="284">
        <v>0</v>
      </c>
      <c r="M28" s="304" t="s">
        <v>431</v>
      </c>
      <c r="O28" s="300" t="s">
        <v>686</v>
      </c>
    </row>
    <row r="29" spans="1:15" x14ac:dyDescent="0.25">
      <c r="A29" s="299" t="s">
        <v>37</v>
      </c>
      <c r="B29" s="300" t="s">
        <v>459</v>
      </c>
      <c r="C29" s="301" t="s">
        <v>448</v>
      </c>
      <c r="D29" s="284" t="s">
        <v>546</v>
      </c>
      <c r="E29" s="284" t="s">
        <v>546</v>
      </c>
      <c r="F29" s="284" t="s">
        <v>546</v>
      </c>
      <c r="G29" s="284" t="s">
        <v>546</v>
      </c>
      <c r="H29" s="284" t="s">
        <v>546</v>
      </c>
      <c r="I29" s="302"/>
      <c r="J29" s="302"/>
      <c r="K29" s="303">
        <v>75</v>
      </c>
      <c r="L29" s="284">
        <v>0</v>
      </c>
      <c r="M29" s="304" t="s">
        <v>431</v>
      </c>
      <c r="O29" s="300" t="s">
        <v>687</v>
      </c>
    </row>
    <row r="30" spans="1:15" x14ac:dyDescent="0.25">
      <c r="A30" s="299" t="s">
        <v>38</v>
      </c>
      <c r="B30" s="300" t="s">
        <v>420</v>
      </c>
      <c r="C30" s="301" t="s">
        <v>448</v>
      </c>
      <c r="D30" s="284">
        <v>0</v>
      </c>
      <c r="E30" s="284">
        <v>0</v>
      </c>
      <c r="F30" s="284">
        <v>0</v>
      </c>
      <c r="G30" s="284">
        <v>0</v>
      </c>
      <c r="H30" s="284">
        <v>0</v>
      </c>
      <c r="I30" s="302"/>
      <c r="J30" s="302"/>
      <c r="K30" s="303">
        <v>100</v>
      </c>
      <c r="L30" s="284">
        <v>0</v>
      </c>
      <c r="M30" s="304" t="s">
        <v>431</v>
      </c>
      <c r="O30" s="300" t="s">
        <v>688</v>
      </c>
    </row>
    <row r="31" spans="1:15" x14ac:dyDescent="0.25">
      <c r="A31" s="299" t="s">
        <v>39</v>
      </c>
      <c r="B31" s="300" t="s">
        <v>420</v>
      </c>
      <c r="C31" s="301" t="s">
        <v>448</v>
      </c>
      <c r="D31" s="284">
        <v>0</v>
      </c>
      <c r="E31" s="284">
        <v>0</v>
      </c>
      <c r="F31" s="284">
        <v>0</v>
      </c>
      <c r="G31" s="284">
        <v>0</v>
      </c>
      <c r="H31" s="284">
        <v>0</v>
      </c>
      <c r="I31" s="302">
        <v>55.7</v>
      </c>
      <c r="J31" s="302"/>
      <c r="K31" s="303">
        <v>100</v>
      </c>
      <c r="L31" s="284">
        <v>0</v>
      </c>
      <c r="M31" s="304" t="s">
        <v>431</v>
      </c>
      <c r="O31" s="300" t="s">
        <v>669</v>
      </c>
    </row>
    <row r="32" spans="1:15" x14ac:dyDescent="0.25">
      <c r="A32" s="299" t="s">
        <v>40</v>
      </c>
      <c r="B32" s="300" t="s">
        <v>459</v>
      </c>
      <c r="C32" s="301" t="s">
        <v>448</v>
      </c>
      <c r="D32" s="284" t="s">
        <v>546</v>
      </c>
      <c r="E32" s="284" t="s">
        <v>546</v>
      </c>
      <c r="F32" s="284" t="s">
        <v>546</v>
      </c>
      <c r="G32" s="284" t="s">
        <v>546</v>
      </c>
      <c r="H32" s="284" t="s">
        <v>546</v>
      </c>
      <c r="I32" s="302"/>
      <c r="J32" s="302"/>
      <c r="K32" s="303">
        <v>75</v>
      </c>
      <c r="L32" s="284">
        <v>0</v>
      </c>
      <c r="M32" s="304" t="s">
        <v>431</v>
      </c>
      <c r="O32" s="300" t="s">
        <v>689</v>
      </c>
    </row>
    <row r="33" spans="1:15" x14ac:dyDescent="0.25">
      <c r="A33" s="299" t="s">
        <v>41</v>
      </c>
      <c r="B33" s="300" t="s">
        <v>453</v>
      </c>
      <c r="C33" s="301" t="s">
        <v>448</v>
      </c>
      <c r="D33" s="284">
        <v>0.51</v>
      </c>
      <c r="E33" s="284" t="s">
        <v>546</v>
      </c>
      <c r="F33" s="284">
        <v>0.53</v>
      </c>
      <c r="G33" s="284" t="s">
        <v>546</v>
      </c>
      <c r="H33" s="284" t="s">
        <v>546</v>
      </c>
      <c r="I33" s="302">
        <v>52.1</v>
      </c>
      <c r="J33" s="302"/>
      <c r="K33" s="303">
        <v>78</v>
      </c>
      <c r="L33" s="284">
        <v>0</v>
      </c>
      <c r="M33" s="304" t="s">
        <v>431</v>
      </c>
      <c r="O33" s="300" t="s">
        <v>690</v>
      </c>
    </row>
    <row r="34" spans="1:15" x14ac:dyDescent="0.25">
      <c r="A34" s="299" t="s">
        <v>42</v>
      </c>
      <c r="C34" s="301"/>
      <c r="D34" s="284" t="s">
        <v>546</v>
      </c>
      <c r="E34" s="284" t="s">
        <v>546</v>
      </c>
      <c r="F34" s="284" t="s">
        <v>546</v>
      </c>
      <c r="G34" s="284" t="s">
        <v>546</v>
      </c>
      <c r="H34" s="284" t="s">
        <v>546</v>
      </c>
      <c r="I34" s="302"/>
      <c r="J34" s="302"/>
      <c r="K34" s="303">
        <v>0</v>
      </c>
      <c r="L34" s="284">
        <v>0</v>
      </c>
      <c r="M34" s="304" t="s">
        <v>431</v>
      </c>
      <c r="O34" s="300" t="s">
        <v>691</v>
      </c>
    </row>
    <row r="35" spans="1:15" x14ac:dyDescent="0.25">
      <c r="A35" s="299" t="s">
        <v>43</v>
      </c>
      <c r="B35" s="300" t="s">
        <v>419</v>
      </c>
      <c r="C35" s="301" t="s">
        <v>448</v>
      </c>
      <c r="D35" s="284" t="s">
        <v>546</v>
      </c>
      <c r="E35" s="284" t="s">
        <v>546</v>
      </c>
      <c r="F35" s="284" t="s">
        <v>546</v>
      </c>
      <c r="G35" s="284" t="s">
        <v>546</v>
      </c>
      <c r="H35" s="284" t="s">
        <v>546</v>
      </c>
      <c r="I35" s="302"/>
      <c r="J35" s="302"/>
      <c r="K35" s="303">
        <v>75</v>
      </c>
      <c r="L35" s="284">
        <v>0</v>
      </c>
      <c r="M35" s="304" t="s">
        <v>431</v>
      </c>
      <c r="O35" s="300" t="s">
        <v>692</v>
      </c>
    </row>
    <row r="36" spans="1:15" x14ac:dyDescent="0.25">
      <c r="A36" s="299" t="s">
        <v>44</v>
      </c>
      <c r="B36" s="300" t="s">
        <v>460</v>
      </c>
      <c r="C36" s="301" t="s">
        <v>448</v>
      </c>
      <c r="D36" s="284">
        <v>0.46</v>
      </c>
      <c r="E36" s="284" t="s">
        <v>546</v>
      </c>
      <c r="F36" s="284" t="s">
        <v>546</v>
      </c>
      <c r="G36" s="284" t="s">
        <v>546</v>
      </c>
      <c r="H36" s="284" t="s">
        <v>546</v>
      </c>
      <c r="I36" s="302">
        <v>41.2</v>
      </c>
      <c r="J36" s="302"/>
      <c r="K36" s="303">
        <v>63</v>
      </c>
      <c r="L36" s="284">
        <v>0</v>
      </c>
      <c r="M36" s="304" t="s">
        <v>431</v>
      </c>
      <c r="O36" s="300" t="s">
        <v>693</v>
      </c>
    </row>
    <row r="37" spans="1:15" x14ac:dyDescent="0.25">
      <c r="A37" s="299" t="s">
        <v>45</v>
      </c>
      <c r="B37" s="300" t="s">
        <v>420</v>
      </c>
      <c r="C37" s="301" t="s">
        <v>448</v>
      </c>
      <c r="D37" s="284">
        <v>0</v>
      </c>
      <c r="E37" s="284">
        <v>0</v>
      </c>
      <c r="F37" s="284">
        <v>0</v>
      </c>
      <c r="G37" s="284">
        <v>0</v>
      </c>
      <c r="H37" s="284">
        <v>0</v>
      </c>
      <c r="I37" s="302"/>
      <c r="J37" s="302"/>
      <c r="K37" s="303">
        <v>107</v>
      </c>
      <c r="L37" s="284">
        <v>0</v>
      </c>
      <c r="M37" s="304" t="s">
        <v>431</v>
      </c>
      <c r="O37" s="300" t="s">
        <v>668</v>
      </c>
    </row>
    <row r="38" spans="1:15" x14ac:dyDescent="0.25">
      <c r="A38" s="299" t="s">
        <v>46</v>
      </c>
      <c r="B38" s="300" t="s">
        <v>454</v>
      </c>
      <c r="C38" s="301" t="s">
        <v>448</v>
      </c>
      <c r="D38" s="284">
        <v>0.37</v>
      </c>
      <c r="E38" s="284" t="s">
        <v>546</v>
      </c>
      <c r="F38" s="284" t="s">
        <v>546</v>
      </c>
      <c r="G38" s="284" t="s">
        <v>546</v>
      </c>
      <c r="H38" s="284" t="s">
        <v>546</v>
      </c>
      <c r="I38" s="302"/>
      <c r="J38" s="302"/>
      <c r="K38" s="303">
        <v>60</v>
      </c>
      <c r="L38" s="284">
        <v>0</v>
      </c>
      <c r="M38" s="304" t="s">
        <v>431</v>
      </c>
      <c r="O38" s="300" t="s">
        <v>694</v>
      </c>
    </row>
    <row r="39" spans="1:15" x14ac:dyDescent="0.25">
      <c r="A39" s="299" t="s">
        <v>47</v>
      </c>
      <c r="C39" s="301"/>
      <c r="D39" s="284" t="s">
        <v>546</v>
      </c>
      <c r="E39" s="284" t="s">
        <v>546</v>
      </c>
      <c r="F39" s="284" t="s">
        <v>546</v>
      </c>
      <c r="G39" s="284" t="s">
        <v>546</v>
      </c>
      <c r="H39" s="284" t="s">
        <v>546</v>
      </c>
      <c r="I39" s="302"/>
      <c r="J39" s="302"/>
      <c r="K39" s="303">
        <v>0</v>
      </c>
      <c r="L39" s="284">
        <v>0</v>
      </c>
      <c r="M39" s="304" t="s">
        <v>431</v>
      </c>
      <c r="O39" s="300" t="s">
        <v>695</v>
      </c>
    </row>
    <row r="40" spans="1:15" x14ac:dyDescent="0.25">
      <c r="A40" s="299" t="s">
        <v>48</v>
      </c>
      <c r="B40" s="300" t="s">
        <v>460</v>
      </c>
      <c r="C40" s="301" t="s">
        <v>448</v>
      </c>
      <c r="D40" s="284">
        <v>0.39</v>
      </c>
      <c r="E40" s="284" t="s">
        <v>546</v>
      </c>
      <c r="F40" s="284">
        <v>0.36</v>
      </c>
      <c r="G40" s="284" t="s">
        <v>546</v>
      </c>
      <c r="H40" s="284" t="s">
        <v>546</v>
      </c>
      <c r="I40" s="302">
        <v>52.4</v>
      </c>
      <c r="J40" s="302"/>
      <c r="K40" s="303">
        <v>93</v>
      </c>
      <c r="L40" s="284">
        <v>0</v>
      </c>
      <c r="M40" s="304" t="s">
        <v>431</v>
      </c>
      <c r="O40" s="300" t="s">
        <v>660</v>
      </c>
    </row>
    <row r="41" spans="1:15" x14ac:dyDescent="0.25">
      <c r="A41" s="299" t="s">
        <v>49</v>
      </c>
      <c r="B41" s="300" t="s">
        <v>419</v>
      </c>
      <c r="C41" s="301" t="s">
        <v>448</v>
      </c>
      <c r="D41" s="284" t="s">
        <v>546</v>
      </c>
      <c r="E41" s="284" t="s">
        <v>546</v>
      </c>
      <c r="F41" s="284" t="s">
        <v>546</v>
      </c>
      <c r="G41" s="284" t="s">
        <v>546</v>
      </c>
      <c r="H41" s="284" t="s">
        <v>546</v>
      </c>
      <c r="I41" s="302"/>
      <c r="J41" s="302"/>
      <c r="K41" s="303">
        <v>75</v>
      </c>
      <c r="L41" s="284">
        <v>0</v>
      </c>
      <c r="M41" s="304" t="s">
        <v>431</v>
      </c>
      <c r="O41" s="300" t="s">
        <v>696</v>
      </c>
    </row>
    <row r="42" spans="1:15" x14ac:dyDescent="0.25">
      <c r="A42" s="299" t="s">
        <v>50</v>
      </c>
      <c r="B42" s="300" t="s">
        <v>420</v>
      </c>
      <c r="C42" s="301" t="s">
        <v>448</v>
      </c>
      <c r="D42" s="284">
        <v>0</v>
      </c>
      <c r="E42" s="284">
        <v>0</v>
      </c>
      <c r="F42" s="284">
        <v>0</v>
      </c>
      <c r="G42" s="284">
        <v>0</v>
      </c>
      <c r="H42" s="284">
        <v>0</v>
      </c>
      <c r="I42" s="302"/>
      <c r="J42" s="302"/>
      <c r="K42" s="303">
        <v>100</v>
      </c>
      <c r="L42" s="284">
        <v>0</v>
      </c>
      <c r="M42" s="304" t="s">
        <v>431</v>
      </c>
      <c r="O42" s="300" t="s">
        <v>697</v>
      </c>
    </row>
    <row r="43" spans="1:15" x14ac:dyDescent="0.25">
      <c r="A43" s="299" t="s">
        <v>51</v>
      </c>
      <c r="B43" s="300" t="s">
        <v>453</v>
      </c>
      <c r="C43" s="301" t="s">
        <v>448</v>
      </c>
      <c r="D43" s="284">
        <v>0.63</v>
      </c>
      <c r="E43" s="284" t="s">
        <v>546</v>
      </c>
      <c r="F43" s="284" t="s">
        <v>546</v>
      </c>
      <c r="G43" s="284" t="s">
        <v>546</v>
      </c>
      <c r="H43" s="284" t="s">
        <v>546</v>
      </c>
      <c r="I43" s="302">
        <v>47.8</v>
      </c>
      <c r="J43" s="302"/>
      <c r="K43" s="303">
        <v>70</v>
      </c>
      <c r="L43" s="284">
        <v>0</v>
      </c>
      <c r="M43" s="304" t="s">
        <v>431</v>
      </c>
      <c r="O43" s="300" t="s">
        <v>589</v>
      </c>
    </row>
    <row r="44" spans="1:15" x14ac:dyDescent="0.25">
      <c r="A44" s="299" t="s">
        <v>52</v>
      </c>
      <c r="B44" s="300" t="s">
        <v>453</v>
      </c>
      <c r="C44" s="301" t="s">
        <v>448</v>
      </c>
      <c r="D44" s="284">
        <v>0.62</v>
      </c>
      <c r="E44" s="284" t="s">
        <v>546</v>
      </c>
      <c r="F44" s="284" t="s">
        <v>546</v>
      </c>
      <c r="G44" s="284" t="s">
        <v>546</v>
      </c>
      <c r="H44" s="284" t="s">
        <v>546</v>
      </c>
      <c r="I44" s="302"/>
      <c r="J44" s="302"/>
      <c r="K44" s="303">
        <v>75</v>
      </c>
      <c r="L44" s="284">
        <v>0</v>
      </c>
      <c r="M44" s="304" t="s">
        <v>431</v>
      </c>
      <c r="O44" s="300" t="s">
        <v>698</v>
      </c>
    </row>
    <row r="45" spans="1:15" x14ac:dyDescent="0.25">
      <c r="A45" s="299" t="s">
        <v>53</v>
      </c>
      <c r="C45" s="301"/>
      <c r="D45" s="284" t="s">
        <v>546</v>
      </c>
      <c r="E45" s="284" t="s">
        <v>546</v>
      </c>
      <c r="F45" s="284" t="s">
        <v>546</v>
      </c>
      <c r="G45" s="284" t="s">
        <v>546</v>
      </c>
      <c r="H45" s="284" t="s">
        <v>546</v>
      </c>
      <c r="I45" s="302"/>
      <c r="J45" s="302"/>
      <c r="K45" s="303">
        <v>0</v>
      </c>
      <c r="L45" s="284">
        <v>0</v>
      </c>
      <c r="M45" s="304" t="s">
        <v>431</v>
      </c>
      <c r="O45" s="300" t="s">
        <v>699</v>
      </c>
    </row>
    <row r="46" spans="1:15" x14ac:dyDescent="0.25">
      <c r="A46" s="299" t="s">
        <v>54</v>
      </c>
      <c r="B46" s="300" t="s">
        <v>419</v>
      </c>
      <c r="C46" s="301" t="s">
        <v>448</v>
      </c>
      <c r="D46" s="284">
        <v>0.47</v>
      </c>
      <c r="E46" s="284" t="s">
        <v>546</v>
      </c>
      <c r="F46" s="284" t="s">
        <v>546</v>
      </c>
      <c r="G46" s="284" t="s">
        <v>546</v>
      </c>
      <c r="H46" s="284" t="s">
        <v>546</v>
      </c>
      <c r="I46" s="302">
        <v>54.3</v>
      </c>
      <c r="J46" s="302"/>
      <c r="K46" s="303">
        <v>75</v>
      </c>
      <c r="L46" s="284">
        <v>0</v>
      </c>
      <c r="M46" s="304" t="s">
        <v>431</v>
      </c>
      <c r="O46" s="300" t="s">
        <v>700</v>
      </c>
    </row>
    <row r="47" spans="1:15" x14ac:dyDescent="0.25">
      <c r="A47" s="299" t="s">
        <v>55</v>
      </c>
      <c r="B47" s="300" t="s">
        <v>453</v>
      </c>
      <c r="C47" s="301" t="s">
        <v>448</v>
      </c>
      <c r="D47" s="284">
        <v>0.57999999999999996</v>
      </c>
      <c r="E47" s="284" t="s">
        <v>546</v>
      </c>
      <c r="F47" s="284">
        <v>0.59</v>
      </c>
      <c r="G47" s="284" t="s">
        <v>546</v>
      </c>
      <c r="H47" s="284" t="s">
        <v>546</v>
      </c>
      <c r="I47" s="302"/>
      <c r="J47" s="302"/>
      <c r="K47" s="303">
        <v>79</v>
      </c>
      <c r="L47" s="284">
        <v>0</v>
      </c>
      <c r="M47" s="304" t="s">
        <v>431</v>
      </c>
      <c r="O47" s="300" t="s">
        <v>701</v>
      </c>
    </row>
    <row r="48" spans="1:15" x14ac:dyDescent="0.25">
      <c r="A48" s="299" t="s">
        <v>56</v>
      </c>
      <c r="B48" s="300" t="s">
        <v>458</v>
      </c>
      <c r="C48" s="301" t="s">
        <v>448</v>
      </c>
      <c r="D48" s="284">
        <v>0.1</v>
      </c>
      <c r="E48" s="284" t="s">
        <v>546</v>
      </c>
      <c r="F48" s="284" t="s">
        <v>546</v>
      </c>
      <c r="G48" s="284" t="s">
        <v>546</v>
      </c>
      <c r="H48" s="284" t="s">
        <v>546</v>
      </c>
      <c r="I48" s="302">
        <v>41.2</v>
      </c>
      <c r="J48" s="302"/>
      <c r="K48" s="303">
        <v>81</v>
      </c>
      <c r="L48" s="284">
        <v>0</v>
      </c>
      <c r="M48" s="304" t="s">
        <v>431</v>
      </c>
      <c r="O48" s="300" t="s">
        <v>702</v>
      </c>
    </row>
    <row r="49" spans="1:15" x14ac:dyDescent="0.25">
      <c r="A49" s="299" t="s">
        <v>452</v>
      </c>
      <c r="B49" s="300" t="s">
        <v>450</v>
      </c>
      <c r="C49" s="301" t="s">
        <v>448</v>
      </c>
      <c r="D49" s="284" t="s">
        <v>546</v>
      </c>
      <c r="E49" s="284" t="s">
        <v>546</v>
      </c>
      <c r="F49" s="284" t="s">
        <v>546</v>
      </c>
      <c r="G49" s="284" t="s">
        <v>546</v>
      </c>
      <c r="H49" s="284" t="s">
        <v>546</v>
      </c>
      <c r="I49" s="302"/>
      <c r="J49" s="302"/>
      <c r="K49" s="303">
        <v>75</v>
      </c>
      <c r="L49" s="284">
        <v>0</v>
      </c>
      <c r="M49" s="304" t="s">
        <v>431</v>
      </c>
      <c r="O49" s="300" t="s">
        <v>729</v>
      </c>
    </row>
    <row r="50" spans="1:15" x14ac:dyDescent="0.25">
      <c r="A50" s="299" t="s">
        <v>57</v>
      </c>
      <c r="B50" s="300" t="s">
        <v>454</v>
      </c>
      <c r="C50" s="301" t="s">
        <v>448</v>
      </c>
      <c r="D50" s="284" t="s">
        <v>546</v>
      </c>
      <c r="E50" s="284" t="s">
        <v>546</v>
      </c>
      <c r="F50" s="284" t="s">
        <v>546</v>
      </c>
      <c r="G50" s="284" t="s">
        <v>546</v>
      </c>
      <c r="H50" s="284" t="s">
        <v>546</v>
      </c>
      <c r="I50" s="302"/>
      <c r="J50" s="302"/>
      <c r="K50" s="303">
        <v>75</v>
      </c>
      <c r="L50" s="284">
        <v>0</v>
      </c>
      <c r="M50" s="304" t="s">
        <v>431</v>
      </c>
      <c r="O50" s="300" t="s">
        <v>703</v>
      </c>
    </row>
    <row r="51" spans="1:15" x14ac:dyDescent="0.25">
      <c r="A51" s="299" t="s">
        <v>58</v>
      </c>
      <c r="B51" s="300" t="s">
        <v>460</v>
      </c>
      <c r="C51" s="301" t="s">
        <v>448</v>
      </c>
      <c r="D51" s="284" t="s">
        <v>546</v>
      </c>
      <c r="E51" s="284" t="s">
        <v>546</v>
      </c>
      <c r="F51" s="284" t="s">
        <v>546</v>
      </c>
      <c r="G51" s="284" t="s">
        <v>546</v>
      </c>
      <c r="H51" s="284" t="s">
        <v>546</v>
      </c>
      <c r="I51" s="302"/>
      <c r="J51" s="302"/>
      <c r="K51" s="303">
        <v>74</v>
      </c>
      <c r="L51" s="284">
        <v>0</v>
      </c>
      <c r="M51" s="304" t="s">
        <v>431</v>
      </c>
      <c r="O51" s="300" t="s">
        <v>705</v>
      </c>
    </row>
    <row r="52" spans="1:15" x14ac:dyDescent="0.25">
      <c r="A52" s="299" t="s">
        <v>59</v>
      </c>
      <c r="B52" s="300" t="s">
        <v>419</v>
      </c>
      <c r="C52" s="301" t="s">
        <v>448</v>
      </c>
      <c r="D52" s="284">
        <v>0.43</v>
      </c>
      <c r="E52" s="284" t="s">
        <v>546</v>
      </c>
      <c r="F52" s="284" t="s">
        <v>546</v>
      </c>
      <c r="G52" s="284" t="s">
        <v>546</v>
      </c>
      <c r="H52" s="284" t="s">
        <v>546</v>
      </c>
      <c r="I52" s="302"/>
      <c r="J52" s="302"/>
      <c r="K52" s="303">
        <v>99</v>
      </c>
      <c r="L52" s="284">
        <v>0</v>
      </c>
      <c r="M52" s="304" t="s">
        <v>431</v>
      </c>
      <c r="O52" s="300" t="s">
        <v>706</v>
      </c>
    </row>
    <row r="53" spans="1:15" x14ac:dyDescent="0.25">
      <c r="A53" s="299" t="s">
        <v>60</v>
      </c>
      <c r="C53" s="301"/>
      <c r="D53" s="284" t="s">
        <v>546</v>
      </c>
      <c r="E53" s="284" t="s">
        <v>546</v>
      </c>
      <c r="F53" s="284" t="s">
        <v>546</v>
      </c>
      <c r="G53" s="284" t="s">
        <v>546</v>
      </c>
      <c r="H53" s="284" t="s">
        <v>546</v>
      </c>
      <c r="I53" s="302"/>
      <c r="J53" s="302"/>
      <c r="K53" s="303">
        <v>0</v>
      </c>
      <c r="L53" s="284">
        <v>0</v>
      </c>
      <c r="M53" s="304" t="s">
        <v>431</v>
      </c>
      <c r="O53" s="300" t="s">
        <v>707</v>
      </c>
    </row>
    <row r="54" spans="1:15" x14ac:dyDescent="0.25">
      <c r="A54" s="299" t="s">
        <v>61</v>
      </c>
      <c r="B54" s="300" t="s">
        <v>420</v>
      </c>
      <c r="C54" s="301" t="s">
        <v>448</v>
      </c>
      <c r="D54" s="284">
        <v>0</v>
      </c>
      <c r="E54" s="284">
        <v>0</v>
      </c>
      <c r="F54" s="284">
        <v>0</v>
      </c>
      <c r="G54" s="284">
        <v>0</v>
      </c>
      <c r="H54" s="284">
        <v>0</v>
      </c>
      <c r="I54" s="302"/>
      <c r="J54" s="302"/>
      <c r="K54" s="303">
        <v>100</v>
      </c>
      <c r="L54" s="284">
        <v>0</v>
      </c>
      <c r="M54" s="304" t="s">
        <v>431</v>
      </c>
      <c r="O54" s="300" t="s">
        <v>708</v>
      </c>
    </row>
    <row r="55" spans="1:15" x14ac:dyDescent="0.25">
      <c r="A55" s="299" t="s">
        <v>62</v>
      </c>
      <c r="C55" s="301"/>
      <c r="D55" s="284" t="s">
        <v>546</v>
      </c>
      <c r="E55" s="284" t="s">
        <v>546</v>
      </c>
      <c r="F55" s="284" t="s">
        <v>546</v>
      </c>
      <c r="G55" s="284" t="s">
        <v>546</v>
      </c>
      <c r="H55" s="284" t="s">
        <v>546</v>
      </c>
      <c r="I55" s="302"/>
      <c r="J55" s="302"/>
      <c r="K55" s="303">
        <v>0</v>
      </c>
      <c r="L55" s="284">
        <v>0</v>
      </c>
      <c r="M55" s="304" t="s">
        <v>431</v>
      </c>
      <c r="O55" s="300" t="s">
        <v>709</v>
      </c>
    </row>
    <row r="56" spans="1:15" x14ac:dyDescent="0.25">
      <c r="A56" s="299" t="s">
        <v>63</v>
      </c>
      <c r="B56" s="300" t="s">
        <v>460</v>
      </c>
      <c r="C56" s="301" t="s">
        <v>448</v>
      </c>
      <c r="D56" s="284">
        <v>0.52</v>
      </c>
      <c r="E56" s="284" t="s">
        <v>546</v>
      </c>
      <c r="F56" s="284">
        <v>0.49</v>
      </c>
      <c r="G56" s="284" t="s">
        <v>546</v>
      </c>
      <c r="H56" s="284" t="s">
        <v>546</v>
      </c>
      <c r="I56" s="302">
        <v>41.8</v>
      </c>
      <c r="J56" s="302"/>
      <c r="K56" s="303">
        <v>79</v>
      </c>
      <c r="L56" s="284">
        <v>0</v>
      </c>
      <c r="M56" s="304" t="s">
        <v>431</v>
      </c>
      <c r="O56" s="300" t="s">
        <v>710</v>
      </c>
    </row>
    <row r="57" spans="1:15" x14ac:dyDescent="0.25">
      <c r="A57" s="299" t="s">
        <v>64</v>
      </c>
      <c r="B57" s="300" t="s">
        <v>455</v>
      </c>
      <c r="C57" s="301" t="s">
        <v>448</v>
      </c>
      <c r="D57" s="284">
        <v>0.53</v>
      </c>
      <c r="E57" s="284" t="s">
        <v>546</v>
      </c>
      <c r="F57" s="284" t="s">
        <v>546</v>
      </c>
      <c r="G57" s="284" t="s">
        <v>546</v>
      </c>
      <c r="H57" s="284">
        <v>0.5</v>
      </c>
      <c r="I57" s="302"/>
      <c r="J57" s="302"/>
      <c r="K57" s="303">
        <v>75</v>
      </c>
      <c r="L57" s="284">
        <v>0</v>
      </c>
      <c r="M57" s="304" t="s">
        <v>431</v>
      </c>
      <c r="O57" s="300" t="s">
        <v>711</v>
      </c>
    </row>
    <row r="58" spans="1:15" x14ac:dyDescent="0.25">
      <c r="A58" s="299" t="s">
        <v>518</v>
      </c>
      <c r="B58" s="300" t="s">
        <v>453</v>
      </c>
      <c r="C58" s="301" t="s">
        <v>448</v>
      </c>
      <c r="D58" s="284">
        <v>0.52</v>
      </c>
      <c r="E58" s="284" t="s">
        <v>546</v>
      </c>
      <c r="F58" s="284" t="s">
        <v>546</v>
      </c>
      <c r="G58" s="284" t="s">
        <v>546</v>
      </c>
      <c r="H58" s="284" t="s">
        <v>546</v>
      </c>
      <c r="I58" s="302">
        <v>63.8</v>
      </c>
      <c r="J58" s="302"/>
      <c r="K58" s="303">
        <v>165</v>
      </c>
      <c r="L58" s="284">
        <v>0</v>
      </c>
      <c r="M58" s="304" t="s">
        <v>431</v>
      </c>
      <c r="O58" s="300" t="s">
        <v>712</v>
      </c>
    </row>
    <row r="59" spans="1:15" x14ac:dyDescent="0.25">
      <c r="A59" s="299" t="s">
        <v>65</v>
      </c>
      <c r="B59" s="300" t="s">
        <v>461</v>
      </c>
      <c r="C59" s="301" t="s">
        <v>448</v>
      </c>
      <c r="D59" s="284" t="s">
        <v>546</v>
      </c>
      <c r="E59" s="284" t="s">
        <v>546</v>
      </c>
      <c r="F59" s="284" t="s">
        <v>546</v>
      </c>
      <c r="G59" s="284" t="s">
        <v>546</v>
      </c>
      <c r="H59" s="284" t="s">
        <v>546</v>
      </c>
      <c r="I59" s="302"/>
      <c r="J59" s="302"/>
      <c r="K59" s="303">
        <v>75</v>
      </c>
      <c r="L59" s="284">
        <v>0</v>
      </c>
      <c r="M59" s="304" t="s">
        <v>431</v>
      </c>
      <c r="O59" s="300" t="s">
        <v>713</v>
      </c>
    </row>
    <row r="60" spans="1:15" x14ac:dyDescent="0.25">
      <c r="A60" s="299" t="s">
        <v>457</v>
      </c>
      <c r="B60" s="300" t="s">
        <v>419</v>
      </c>
      <c r="C60" s="301" t="s">
        <v>448</v>
      </c>
      <c r="D60" s="284" t="s">
        <v>546</v>
      </c>
      <c r="E60" s="284" t="s">
        <v>546</v>
      </c>
      <c r="F60" s="284" t="s">
        <v>546</v>
      </c>
      <c r="G60" s="284" t="s">
        <v>546</v>
      </c>
      <c r="H60" s="284" t="s">
        <v>546</v>
      </c>
      <c r="I60" s="302"/>
      <c r="J60" s="302"/>
      <c r="K60" s="303">
        <v>81</v>
      </c>
      <c r="L60" s="284">
        <v>0</v>
      </c>
      <c r="M60" s="304" t="s">
        <v>431</v>
      </c>
      <c r="O60" s="300" t="s">
        <v>714</v>
      </c>
    </row>
    <row r="61" spans="1:15" x14ac:dyDescent="0.25">
      <c r="A61" s="299" t="s">
        <v>243</v>
      </c>
      <c r="C61" s="301"/>
      <c r="D61" s="284" t="s">
        <v>546</v>
      </c>
      <c r="E61" s="284" t="s">
        <v>546</v>
      </c>
      <c r="F61" s="284" t="s">
        <v>546</v>
      </c>
      <c r="G61" s="284" t="s">
        <v>546</v>
      </c>
      <c r="H61" s="284" t="s">
        <v>546</v>
      </c>
      <c r="I61" s="302"/>
      <c r="J61" s="302"/>
      <c r="K61" s="303">
        <v>0</v>
      </c>
      <c r="L61" s="284">
        <v>0</v>
      </c>
      <c r="M61" s="304" t="s">
        <v>431</v>
      </c>
      <c r="O61" s="300" t="s">
        <v>715</v>
      </c>
    </row>
    <row r="62" spans="1:15" x14ac:dyDescent="0.25">
      <c r="A62" s="299" t="s">
        <v>66</v>
      </c>
      <c r="B62" s="300" t="s">
        <v>459</v>
      </c>
      <c r="C62" s="301" t="s">
        <v>448</v>
      </c>
      <c r="D62" s="284">
        <v>0.35</v>
      </c>
      <c r="E62" s="284">
        <v>0.32</v>
      </c>
      <c r="F62" s="284">
        <v>0.32</v>
      </c>
      <c r="G62" s="284" t="s">
        <v>546</v>
      </c>
      <c r="H62" s="284" t="s">
        <v>546</v>
      </c>
      <c r="I62" s="302">
        <v>52.1</v>
      </c>
      <c r="J62" s="302"/>
      <c r="K62" s="303">
        <v>91</v>
      </c>
      <c r="L62" s="284">
        <v>0</v>
      </c>
      <c r="M62" s="304" t="s">
        <v>431</v>
      </c>
      <c r="O62" s="300" t="s">
        <v>716</v>
      </c>
    </row>
    <row r="63" spans="1:15" x14ac:dyDescent="0.25">
      <c r="A63" s="299" t="s">
        <v>67</v>
      </c>
      <c r="B63" s="300" t="s">
        <v>453</v>
      </c>
      <c r="C63" s="301" t="s">
        <v>448</v>
      </c>
      <c r="D63" s="284">
        <v>0.54</v>
      </c>
      <c r="E63" s="284" t="s">
        <v>546</v>
      </c>
      <c r="F63" s="284">
        <v>0.56000000000000005</v>
      </c>
      <c r="G63" s="284" t="s">
        <v>546</v>
      </c>
      <c r="H63" s="284" t="s">
        <v>546</v>
      </c>
      <c r="I63" s="302">
        <v>59</v>
      </c>
      <c r="J63" s="302"/>
      <c r="K63" s="303">
        <v>87</v>
      </c>
      <c r="L63" s="284">
        <v>0</v>
      </c>
      <c r="M63" s="304" t="s">
        <v>431</v>
      </c>
      <c r="O63" s="300" t="s">
        <v>717</v>
      </c>
    </row>
    <row r="64" spans="1:15" x14ac:dyDescent="0.25">
      <c r="A64" s="299" t="s">
        <v>68</v>
      </c>
      <c r="B64" s="300" t="s">
        <v>420</v>
      </c>
      <c r="C64" s="301" t="s">
        <v>448</v>
      </c>
      <c r="D64" s="284">
        <v>0</v>
      </c>
      <c r="E64" s="284">
        <v>0</v>
      </c>
      <c r="F64" s="284">
        <v>0</v>
      </c>
      <c r="G64" s="284">
        <v>0</v>
      </c>
      <c r="H64" s="284">
        <v>0</v>
      </c>
      <c r="I64" s="302"/>
      <c r="J64" s="302"/>
      <c r="K64" s="303">
        <v>100</v>
      </c>
      <c r="L64" s="284">
        <v>0</v>
      </c>
      <c r="M64" s="304" t="s">
        <v>431</v>
      </c>
      <c r="O64" s="300" t="s">
        <v>718</v>
      </c>
    </row>
    <row r="65" spans="1:15" x14ac:dyDescent="0.25">
      <c r="A65" s="299" t="s">
        <v>69</v>
      </c>
      <c r="B65" s="300" t="s">
        <v>459</v>
      </c>
      <c r="C65" s="301" t="s">
        <v>448</v>
      </c>
      <c r="D65" s="284">
        <v>0.37</v>
      </c>
      <c r="E65" s="284">
        <v>0.35</v>
      </c>
      <c r="F65" s="284">
        <v>0.34</v>
      </c>
      <c r="G65" s="284" t="s">
        <v>546</v>
      </c>
      <c r="H65" s="284" t="s">
        <v>546</v>
      </c>
      <c r="I65" s="302"/>
      <c r="J65" s="302"/>
      <c r="K65" s="303">
        <v>63</v>
      </c>
      <c r="L65" s="284">
        <v>0</v>
      </c>
      <c r="M65" s="304" t="s">
        <v>431</v>
      </c>
      <c r="O65" s="300" t="s">
        <v>719</v>
      </c>
    </row>
    <row r="66" spans="1:15" x14ac:dyDescent="0.25">
      <c r="A66" s="299" t="s">
        <v>70</v>
      </c>
      <c r="B66" s="300" t="s">
        <v>420</v>
      </c>
      <c r="C66" s="301" t="s">
        <v>448</v>
      </c>
      <c r="D66" s="284">
        <v>0</v>
      </c>
      <c r="E66" s="284">
        <v>0</v>
      </c>
      <c r="F66" s="284">
        <v>0</v>
      </c>
      <c r="G66" s="284">
        <v>0</v>
      </c>
      <c r="H66" s="284">
        <v>0</v>
      </c>
      <c r="I66" s="302"/>
      <c r="J66" s="302"/>
      <c r="K66" s="303">
        <v>105</v>
      </c>
      <c r="L66" s="284">
        <v>0</v>
      </c>
      <c r="M66" s="304" t="s">
        <v>431</v>
      </c>
      <c r="O66" s="300" t="s">
        <v>720</v>
      </c>
    </row>
    <row r="67" spans="1:15" x14ac:dyDescent="0.25">
      <c r="A67" s="299" t="s">
        <v>71</v>
      </c>
      <c r="B67" s="300" t="s">
        <v>453</v>
      </c>
      <c r="C67" s="301" t="s">
        <v>448</v>
      </c>
      <c r="D67" s="284">
        <v>0.52</v>
      </c>
      <c r="E67" s="284" t="s">
        <v>546</v>
      </c>
      <c r="F67" s="284" t="s">
        <v>546</v>
      </c>
      <c r="G67" s="284" t="s">
        <v>546</v>
      </c>
      <c r="H67" s="284" t="s">
        <v>546</v>
      </c>
      <c r="I67" s="302"/>
      <c r="J67" s="302"/>
      <c r="K67" s="303">
        <v>75</v>
      </c>
      <c r="L67" s="284">
        <v>0</v>
      </c>
      <c r="M67" s="304" t="s">
        <v>431</v>
      </c>
      <c r="O67" s="300" t="s">
        <v>721</v>
      </c>
    </row>
    <row r="68" spans="1:15" x14ac:dyDescent="0.25">
      <c r="A68" s="299" t="s">
        <v>72</v>
      </c>
      <c r="B68" s="300" t="s">
        <v>459</v>
      </c>
      <c r="C68" s="301" t="s">
        <v>448</v>
      </c>
      <c r="D68" s="284">
        <v>0.4</v>
      </c>
      <c r="E68" s="284" t="s">
        <v>546</v>
      </c>
      <c r="F68" s="284">
        <v>0.36</v>
      </c>
      <c r="G68" s="284" t="s">
        <v>546</v>
      </c>
      <c r="H68" s="284" t="s">
        <v>546</v>
      </c>
      <c r="I68" s="302">
        <v>49.7</v>
      </c>
      <c r="J68" s="302"/>
      <c r="K68" s="303">
        <v>67</v>
      </c>
      <c r="L68" s="284">
        <v>0</v>
      </c>
      <c r="M68" s="304" t="s">
        <v>431</v>
      </c>
      <c r="O68" s="300" t="s">
        <v>722</v>
      </c>
    </row>
    <row r="69" spans="1:15" x14ac:dyDescent="0.25">
      <c r="A69" s="299" t="s">
        <v>73</v>
      </c>
      <c r="B69" s="300" t="s">
        <v>459</v>
      </c>
      <c r="C69" s="301" t="s">
        <v>448</v>
      </c>
      <c r="D69" s="284" t="s">
        <v>546</v>
      </c>
      <c r="E69" s="284">
        <v>0.36</v>
      </c>
      <c r="F69" s="284">
        <v>0.36</v>
      </c>
      <c r="G69" s="284" t="s">
        <v>546</v>
      </c>
      <c r="H69" s="284" t="s">
        <v>546</v>
      </c>
      <c r="I69" s="302"/>
      <c r="J69" s="302"/>
      <c r="K69" s="303">
        <v>75</v>
      </c>
      <c r="L69" s="284">
        <v>0</v>
      </c>
      <c r="M69" s="304" t="s">
        <v>431</v>
      </c>
      <c r="O69" s="300" t="s">
        <v>723</v>
      </c>
    </row>
    <row r="70" spans="1:15" x14ac:dyDescent="0.25">
      <c r="A70" s="299" t="s">
        <v>74</v>
      </c>
      <c r="B70" s="300" t="s">
        <v>450</v>
      </c>
      <c r="C70" s="301" t="s">
        <v>448</v>
      </c>
      <c r="D70" s="284" t="s">
        <v>546</v>
      </c>
      <c r="E70" s="284" t="s">
        <v>546</v>
      </c>
      <c r="F70" s="284" t="s">
        <v>546</v>
      </c>
      <c r="G70" s="284" t="s">
        <v>546</v>
      </c>
      <c r="H70" s="284" t="s">
        <v>546</v>
      </c>
      <c r="I70" s="302"/>
      <c r="J70" s="302"/>
      <c r="K70" s="303">
        <v>73</v>
      </c>
      <c r="L70" s="284">
        <v>0</v>
      </c>
      <c r="M70" s="304" t="s">
        <v>431</v>
      </c>
      <c r="O70" s="300" t="s">
        <v>724</v>
      </c>
    </row>
    <row r="71" spans="1:15" x14ac:dyDescent="0.25">
      <c r="A71" s="299" t="s">
        <v>75</v>
      </c>
      <c r="B71" s="300" t="s">
        <v>450</v>
      </c>
      <c r="C71" s="301" t="s">
        <v>448</v>
      </c>
      <c r="D71" s="284">
        <v>0.32</v>
      </c>
      <c r="E71" s="284" t="s">
        <v>546</v>
      </c>
      <c r="F71" s="284" t="s">
        <v>546</v>
      </c>
      <c r="G71" s="284" t="s">
        <v>546</v>
      </c>
      <c r="H71" s="284" t="s">
        <v>546</v>
      </c>
      <c r="I71" s="302"/>
      <c r="J71" s="302"/>
      <c r="K71" s="303">
        <v>75</v>
      </c>
      <c r="L71" s="284">
        <v>0</v>
      </c>
      <c r="M71" s="304" t="s">
        <v>431</v>
      </c>
      <c r="O71" s="300" t="s">
        <v>726</v>
      </c>
    </row>
    <row r="72" spans="1:15" x14ac:dyDescent="0.25">
      <c r="A72" s="299" t="s">
        <v>76</v>
      </c>
      <c r="B72" s="300" t="s">
        <v>460</v>
      </c>
      <c r="C72" s="301" t="s">
        <v>448</v>
      </c>
      <c r="D72" s="284">
        <v>0.41</v>
      </c>
      <c r="E72" s="284" t="s">
        <v>546</v>
      </c>
      <c r="F72" s="284" t="s">
        <v>546</v>
      </c>
      <c r="G72" s="284" t="s">
        <v>546</v>
      </c>
      <c r="H72" s="284" t="s">
        <v>546</v>
      </c>
      <c r="I72" s="302"/>
      <c r="J72" s="302"/>
      <c r="K72" s="303">
        <v>69</v>
      </c>
      <c r="L72" s="284">
        <v>0</v>
      </c>
      <c r="M72" s="304" t="s">
        <v>431</v>
      </c>
      <c r="O72" s="300" t="s">
        <v>727</v>
      </c>
    </row>
    <row r="73" spans="1:15" x14ac:dyDescent="0.25">
      <c r="A73" s="299" t="s">
        <v>77</v>
      </c>
      <c r="B73" s="300" t="s">
        <v>454</v>
      </c>
      <c r="C73" s="301" t="s">
        <v>448</v>
      </c>
      <c r="D73" s="284" t="s">
        <v>546</v>
      </c>
      <c r="E73" s="284" t="s">
        <v>546</v>
      </c>
      <c r="F73" s="284" t="s">
        <v>546</v>
      </c>
      <c r="G73" s="284" t="s">
        <v>546</v>
      </c>
      <c r="H73" s="284" t="s">
        <v>546</v>
      </c>
      <c r="I73" s="302"/>
      <c r="J73" s="302"/>
      <c r="K73" s="303">
        <v>75</v>
      </c>
      <c r="L73" s="284">
        <v>0</v>
      </c>
      <c r="M73" s="304" t="s">
        <v>431</v>
      </c>
      <c r="O73" s="300" t="s">
        <v>728</v>
      </c>
    </row>
    <row r="74" spans="1:15" x14ac:dyDescent="0.25">
      <c r="A74" s="299" t="s">
        <v>78</v>
      </c>
      <c r="B74" s="300" t="s">
        <v>420</v>
      </c>
      <c r="C74" s="301" t="s">
        <v>448</v>
      </c>
      <c r="D74" s="284">
        <v>0</v>
      </c>
      <c r="E74" s="284">
        <v>0</v>
      </c>
      <c r="F74" s="284">
        <v>0</v>
      </c>
      <c r="G74" s="284">
        <v>0</v>
      </c>
      <c r="H74" s="284">
        <v>0</v>
      </c>
      <c r="I74" s="302">
        <v>42.7</v>
      </c>
      <c r="J74" s="302"/>
      <c r="K74" s="303">
        <v>90</v>
      </c>
      <c r="L74" s="284">
        <v>0</v>
      </c>
      <c r="M74" s="304" t="s">
        <v>431</v>
      </c>
      <c r="O74" s="300" t="s">
        <v>729</v>
      </c>
    </row>
    <row r="75" spans="1:15" x14ac:dyDescent="0.25">
      <c r="A75" s="299" t="s">
        <v>79</v>
      </c>
      <c r="B75" s="300" t="s">
        <v>420</v>
      </c>
      <c r="C75" s="301" t="s">
        <v>448</v>
      </c>
      <c r="D75" s="284">
        <v>0</v>
      </c>
      <c r="E75" s="284">
        <v>0</v>
      </c>
      <c r="F75" s="284">
        <v>0</v>
      </c>
      <c r="G75" s="284">
        <v>0</v>
      </c>
      <c r="H75" s="284">
        <v>0</v>
      </c>
      <c r="I75" s="302"/>
      <c r="J75" s="302"/>
      <c r="K75" s="303">
        <v>100</v>
      </c>
      <c r="L75" s="284">
        <v>0</v>
      </c>
      <c r="M75" s="304" t="s">
        <v>431</v>
      </c>
      <c r="O75" s="300" t="s">
        <v>730</v>
      </c>
    </row>
    <row r="76" spans="1:15" x14ac:dyDescent="0.25">
      <c r="A76" s="299" t="s">
        <v>551</v>
      </c>
      <c r="B76" s="300" t="s">
        <v>458</v>
      </c>
      <c r="C76" s="301" t="s">
        <v>448</v>
      </c>
      <c r="D76" s="284">
        <v>0.18</v>
      </c>
      <c r="E76" s="284">
        <v>0.19</v>
      </c>
      <c r="F76" s="284">
        <v>0.16</v>
      </c>
      <c r="G76" s="284" t="s">
        <v>546</v>
      </c>
      <c r="H76" s="284" t="s">
        <v>546</v>
      </c>
      <c r="I76" s="302">
        <v>49.2</v>
      </c>
      <c r="J76" s="302"/>
      <c r="K76" s="303">
        <v>60</v>
      </c>
      <c r="L76" s="284">
        <v>0</v>
      </c>
      <c r="M76" s="304" t="s">
        <v>431</v>
      </c>
      <c r="O76" s="300" t="s">
        <v>731</v>
      </c>
    </row>
    <row r="77" spans="1:15" x14ac:dyDescent="0.25">
      <c r="A77" s="299" t="s">
        <v>550</v>
      </c>
      <c r="B77" s="300" t="s">
        <v>458</v>
      </c>
      <c r="C77" s="301" t="s">
        <v>448</v>
      </c>
      <c r="D77" s="284">
        <v>0.21</v>
      </c>
      <c r="E77" s="284">
        <v>0.19</v>
      </c>
      <c r="F77" s="284">
        <v>0.18</v>
      </c>
      <c r="G77" s="284" t="s">
        <v>546</v>
      </c>
      <c r="H77" s="284" t="s">
        <v>546</v>
      </c>
      <c r="I77" s="302">
        <v>49.2</v>
      </c>
      <c r="J77" s="302"/>
      <c r="K77" s="303">
        <v>60</v>
      </c>
      <c r="L77" s="284">
        <v>0</v>
      </c>
      <c r="M77" s="304" t="s">
        <v>431</v>
      </c>
      <c r="O77" s="300" t="s">
        <v>731</v>
      </c>
    </row>
    <row r="78" spans="1:15" x14ac:dyDescent="0.25">
      <c r="A78" s="299" t="s">
        <v>80</v>
      </c>
      <c r="B78" s="300" t="s">
        <v>454</v>
      </c>
      <c r="C78" s="301" t="s">
        <v>448</v>
      </c>
      <c r="D78" s="284">
        <v>0.61</v>
      </c>
      <c r="E78" s="284" t="s">
        <v>546</v>
      </c>
      <c r="F78" s="284" t="s">
        <v>546</v>
      </c>
      <c r="G78" s="284" t="s">
        <v>546</v>
      </c>
      <c r="H78" s="284" t="s">
        <v>546</v>
      </c>
      <c r="I78" s="302">
        <v>65.3</v>
      </c>
      <c r="J78" s="302"/>
      <c r="K78" s="303">
        <v>72</v>
      </c>
      <c r="L78" s="284">
        <v>0</v>
      </c>
      <c r="M78" s="304" t="s">
        <v>431</v>
      </c>
      <c r="O78" s="300" t="s">
        <v>732</v>
      </c>
    </row>
    <row r="79" spans="1:15" x14ac:dyDescent="0.25">
      <c r="A79" s="299" t="s">
        <v>81</v>
      </c>
      <c r="C79" s="301"/>
      <c r="D79" s="284" t="s">
        <v>546</v>
      </c>
      <c r="E79" s="284" t="s">
        <v>546</v>
      </c>
      <c r="F79" s="284" t="s">
        <v>546</v>
      </c>
      <c r="G79" s="284" t="s">
        <v>546</v>
      </c>
      <c r="H79" s="284" t="s">
        <v>546</v>
      </c>
      <c r="I79" s="302"/>
      <c r="J79" s="302"/>
      <c r="K79" s="303">
        <v>0</v>
      </c>
      <c r="L79" s="284">
        <v>0</v>
      </c>
      <c r="M79" s="304" t="s">
        <v>431</v>
      </c>
      <c r="O79" s="300" t="s">
        <v>733</v>
      </c>
    </row>
    <row r="80" spans="1:15" x14ac:dyDescent="0.25">
      <c r="A80" s="299" t="s">
        <v>82</v>
      </c>
      <c r="C80" s="301"/>
      <c r="D80" s="284" t="s">
        <v>546</v>
      </c>
      <c r="E80" s="284" t="s">
        <v>546</v>
      </c>
      <c r="F80" s="284" t="s">
        <v>546</v>
      </c>
      <c r="G80" s="284" t="s">
        <v>546</v>
      </c>
      <c r="H80" s="284" t="s">
        <v>546</v>
      </c>
      <c r="I80" s="302"/>
      <c r="J80" s="302"/>
      <c r="K80" s="303">
        <v>0</v>
      </c>
      <c r="L80" s="284">
        <v>0</v>
      </c>
      <c r="M80" s="304" t="s">
        <v>431</v>
      </c>
      <c r="O80" s="300" t="s">
        <v>734</v>
      </c>
    </row>
    <row r="81" spans="1:15" x14ac:dyDescent="0.25">
      <c r="A81" s="299" t="s">
        <v>83</v>
      </c>
      <c r="B81" s="300" t="s">
        <v>461</v>
      </c>
      <c r="C81" s="301" t="s">
        <v>448</v>
      </c>
      <c r="D81" s="284" t="s">
        <v>546</v>
      </c>
      <c r="E81" s="284" t="s">
        <v>546</v>
      </c>
      <c r="F81" s="284" t="s">
        <v>546</v>
      </c>
      <c r="G81" s="284" t="s">
        <v>546</v>
      </c>
      <c r="H81" s="284" t="s">
        <v>546</v>
      </c>
      <c r="I81" s="302"/>
      <c r="J81" s="302"/>
      <c r="K81" s="303">
        <v>75</v>
      </c>
      <c r="L81" s="284">
        <v>0</v>
      </c>
      <c r="M81" s="304" t="s">
        <v>431</v>
      </c>
      <c r="O81" s="300" t="s">
        <v>735</v>
      </c>
    </row>
    <row r="82" spans="1:15" x14ac:dyDescent="0.25">
      <c r="A82" s="299" t="s">
        <v>84</v>
      </c>
      <c r="B82" s="300" t="s">
        <v>420</v>
      </c>
      <c r="C82" s="301" t="s">
        <v>448</v>
      </c>
      <c r="D82" s="284">
        <v>0</v>
      </c>
      <c r="E82" s="284">
        <v>0</v>
      </c>
      <c r="F82" s="284">
        <v>0</v>
      </c>
      <c r="G82" s="284">
        <v>0</v>
      </c>
      <c r="H82" s="284">
        <v>0</v>
      </c>
      <c r="I82" s="302"/>
      <c r="J82" s="302"/>
      <c r="K82" s="303">
        <v>100</v>
      </c>
      <c r="L82" s="284">
        <v>0</v>
      </c>
      <c r="M82" s="304" t="s">
        <v>431</v>
      </c>
      <c r="O82" s="300" t="s">
        <v>736</v>
      </c>
    </row>
    <row r="83" spans="1:15" x14ac:dyDescent="0.25">
      <c r="A83" s="299" t="s">
        <v>85</v>
      </c>
      <c r="B83" s="300" t="s">
        <v>453</v>
      </c>
      <c r="C83" s="301" t="s">
        <v>448</v>
      </c>
      <c r="D83" s="284">
        <v>0.44</v>
      </c>
      <c r="E83" s="284" t="s">
        <v>546</v>
      </c>
      <c r="F83" s="284" t="s">
        <v>546</v>
      </c>
      <c r="G83" s="284" t="s">
        <v>546</v>
      </c>
      <c r="H83" s="284" t="s">
        <v>546</v>
      </c>
      <c r="I83" s="302"/>
      <c r="J83" s="302"/>
      <c r="K83" s="303">
        <v>146</v>
      </c>
      <c r="L83" s="284">
        <v>0</v>
      </c>
      <c r="M83" s="304" t="s">
        <v>431</v>
      </c>
      <c r="O83" s="300" t="s">
        <v>737</v>
      </c>
    </row>
    <row r="84" spans="1:15" x14ac:dyDescent="0.25">
      <c r="A84" s="299" t="s">
        <v>86</v>
      </c>
      <c r="B84" s="300" t="s">
        <v>454</v>
      </c>
      <c r="C84" s="301" t="s">
        <v>448</v>
      </c>
      <c r="D84" s="284" t="s">
        <v>546</v>
      </c>
      <c r="E84" s="284" t="s">
        <v>546</v>
      </c>
      <c r="F84" s="284" t="s">
        <v>546</v>
      </c>
      <c r="G84" s="284" t="s">
        <v>546</v>
      </c>
      <c r="H84" s="284" t="s">
        <v>546</v>
      </c>
      <c r="I84" s="302"/>
      <c r="J84" s="302"/>
      <c r="K84" s="303">
        <v>69</v>
      </c>
      <c r="L84" s="284">
        <v>0</v>
      </c>
      <c r="M84" s="304" t="s">
        <v>431</v>
      </c>
      <c r="O84" s="300" t="s">
        <v>738</v>
      </c>
    </row>
    <row r="85" spans="1:15" x14ac:dyDescent="0.25">
      <c r="A85" s="299" t="s">
        <v>87</v>
      </c>
      <c r="B85" s="300" t="s">
        <v>419</v>
      </c>
      <c r="C85" s="301" t="s">
        <v>448</v>
      </c>
      <c r="D85" s="284" t="s">
        <v>546</v>
      </c>
      <c r="E85" s="284" t="s">
        <v>546</v>
      </c>
      <c r="F85" s="284" t="s">
        <v>546</v>
      </c>
      <c r="G85" s="284" t="s">
        <v>546</v>
      </c>
      <c r="H85" s="284" t="s">
        <v>546</v>
      </c>
      <c r="I85" s="302"/>
      <c r="J85" s="302"/>
      <c r="K85" s="303">
        <v>75</v>
      </c>
      <c r="L85" s="284">
        <v>0</v>
      </c>
      <c r="M85" s="304" t="s">
        <v>431</v>
      </c>
      <c r="O85" s="300" t="s">
        <v>739</v>
      </c>
    </row>
    <row r="86" spans="1:15" x14ac:dyDescent="0.25">
      <c r="A86" s="299" t="s">
        <v>88</v>
      </c>
      <c r="C86" s="301"/>
      <c r="D86" s="284" t="s">
        <v>546</v>
      </c>
      <c r="E86" s="284" t="s">
        <v>546</v>
      </c>
      <c r="F86" s="284" t="s">
        <v>546</v>
      </c>
      <c r="G86" s="284" t="s">
        <v>546</v>
      </c>
      <c r="H86" s="284" t="s">
        <v>546</v>
      </c>
      <c r="I86" s="302"/>
      <c r="J86" s="302"/>
      <c r="K86" s="303">
        <v>0</v>
      </c>
      <c r="L86" s="284">
        <v>0</v>
      </c>
      <c r="M86" s="304" t="s">
        <v>431</v>
      </c>
      <c r="O86" s="300" t="s">
        <v>740</v>
      </c>
    </row>
    <row r="87" spans="1:15" x14ac:dyDescent="0.25">
      <c r="A87" s="299" t="s">
        <v>89</v>
      </c>
      <c r="B87" s="300" t="s">
        <v>454</v>
      </c>
      <c r="C87" s="301" t="s">
        <v>448</v>
      </c>
      <c r="D87" s="284">
        <v>0.42</v>
      </c>
      <c r="E87" s="284" t="s">
        <v>546</v>
      </c>
      <c r="F87" s="284">
        <v>0.43</v>
      </c>
      <c r="G87" s="284" t="s">
        <v>546</v>
      </c>
      <c r="H87" s="284">
        <v>0.43</v>
      </c>
      <c r="I87" s="302"/>
      <c r="J87" s="302"/>
      <c r="K87" s="303">
        <v>62</v>
      </c>
      <c r="L87" s="284">
        <v>0</v>
      </c>
      <c r="M87" s="304" t="s">
        <v>431</v>
      </c>
      <c r="O87" s="300" t="s">
        <v>741</v>
      </c>
    </row>
    <row r="88" spans="1:15" x14ac:dyDescent="0.25">
      <c r="A88" s="299" t="s">
        <v>90</v>
      </c>
      <c r="B88" s="300" t="s">
        <v>420</v>
      </c>
      <c r="C88" s="301"/>
      <c r="D88" s="284">
        <v>0</v>
      </c>
      <c r="E88" s="284">
        <v>0</v>
      </c>
      <c r="F88" s="284">
        <v>0</v>
      </c>
      <c r="G88" s="284">
        <v>0</v>
      </c>
      <c r="H88" s="284">
        <v>0</v>
      </c>
      <c r="I88" s="302"/>
      <c r="J88" s="302"/>
      <c r="K88" s="303">
        <v>0</v>
      </c>
      <c r="L88" s="284">
        <v>0</v>
      </c>
      <c r="M88" s="304" t="s">
        <v>431</v>
      </c>
      <c r="O88" s="300" t="s">
        <v>742</v>
      </c>
    </row>
    <row r="89" spans="1:15" x14ac:dyDescent="0.25">
      <c r="A89" s="299" t="s">
        <v>91</v>
      </c>
      <c r="B89" s="300" t="s">
        <v>420</v>
      </c>
      <c r="C89" s="301" t="s">
        <v>448</v>
      </c>
      <c r="D89" s="284">
        <v>0</v>
      </c>
      <c r="E89" s="284">
        <v>0</v>
      </c>
      <c r="F89" s="284">
        <v>0</v>
      </c>
      <c r="G89" s="284">
        <v>0</v>
      </c>
      <c r="H89" s="284">
        <v>0</v>
      </c>
      <c r="I89" s="302"/>
      <c r="J89" s="302"/>
      <c r="K89" s="303">
        <v>100</v>
      </c>
      <c r="L89" s="284">
        <v>0</v>
      </c>
      <c r="M89" s="304" t="s">
        <v>431</v>
      </c>
      <c r="O89" s="300" t="s">
        <v>743</v>
      </c>
    </row>
    <row r="90" spans="1:15" x14ac:dyDescent="0.25">
      <c r="A90" s="299" t="s">
        <v>92</v>
      </c>
      <c r="B90" s="300" t="s">
        <v>459</v>
      </c>
      <c r="C90" s="301" t="s">
        <v>448</v>
      </c>
      <c r="D90" s="284" t="s">
        <v>546</v>
      </c>
      <c r="E90" s="284" t="s">
        <v>546</v>
      </c>
      <c r="F90" s="284" t="s">
        <v>546</v>
      </c>
      <c r="G90" s="284" t="s">
        <v>546</v>
      </c>
      <c r="H90" s="284" t="s">
        <v>546</v>
      </c>
      <c r="I90" s="302"/>
      <c r="J90" s="302"/>
      <c r="K90" s="303">
        <v>75</v>
      </c>
      <c r="L90" s="284">
        <v>0</v>
      </c>
      <c r="M90" s="304" t="s">
        <v>431</v>
      </c>
      <c r="O90" s="300" t="s">
        <v>744</v>
      </c>
    </row>
    <row r="91" spans="1:15" x14ac:dyDescent="0.25">
      <c r="A91" s="299" t="s">
        <v>93</v>
      </c>
      <c r="C91" s="301"/>
      <c r="D91" s="284" t="s">
        <v>546</v>
      </c>
      <c r="E91" s="284" t="s">
        <v>546</v>
      </c>
      <c r="F91" s="284" t="s">
        <v>546</v>
      </c>
      <c r="G91" s="284" t="s">
        <v>546</v>
      </c>
      <c r="H91" s="284" t="s">
        <v>546</v>
      </c>
      <c r="I91" s="302"/>
      <c r="J91" s="302"/>
      <c r="K91" s="303">
        <v>0</v>
      </c>
      <c r="L91" s="284">
        <v>0</v>
      </c>
      <c r="M91" s="304" t="s">
        <v>431</v>
      </c>
      <c r="O91" s="300" t="s">
        <v>745</v>
      </c>
    </row>
    <row r="92" spans="1:15" x14ac:dyDescent="0.25">
      <c r="A92" s="299" t="s">
        <v>95</v>
      </c>
      <c r="C92" s="301"/>
      <c r="D92" s="284" t="s">
        <v>546</v>
      </c>
      <c r="E92" s="284" t="s">
        <v>546</v>
      </c>
      <c r="F92" s="284" t="s">
        <v>546</v>
      </c>
      <c r="G92" s="284" t="s">
        <v>546</v>
      </c>
      <c r="H92" s="284" t="s">
        <v>546</v>
      </c>
      <c r="I92" s="302"/>
      <c r="J92" s="302"/>
      <c r="K92" s="303">
        <v>0</v>
      </c>
      <c r="L92" s="284">
        <v>0</v>
      </c>
      <c r="M92" s="304" t="s">
        <v>431</v>
      </c>
      <c r="O92" s="300" t="s">
        <v>658</v>
      </c>
    </row>
    <row r="93" spans="1:15" x14ac:dyDescent="0.25">
      <c r="A93" s="299" t="s">
        <v>96</v>
      </c>
      <c r="B93" s="300" t="s">
        <v>459</v>
      </c>
      <c r="C93" s="301" t="s">
        <v>448</v>
      </c>
      <c r="D93" s="284">
        <v>0.5</v>
      </c>
      <c r="E93" s="284" t="s">
        <v>546</v>
      </c>
      <c r="F93" s="284" t="s">
        <v>546</v>
      </c>
      <c r="G93" s="284" t="s">
        <v>546</v>
      </c>
      <c r="H93" s="284" t="s">
        <v>546</v>
      </c>
      <c r="I93" s="302"/>
      <c r="J93" s="302"/>
      <c r="K93" s="303">
        <v>87</v>
      </c>
      <c r="L93" s="284">
        <v>0</v>
      </c>
      <c r="M93" s="304" t="s">
        <v>431</v>
      </c>
      <c r="O93" s="300" t="s">
        <v>746</v>
      </c>
    </row>
    <row r="94" spans="1:15" x14ac:dyDescent="0.25">
      <c r="A94" s="299" t="s">
        <v>449</v>
      </c>
      <c r="B94" s="300" t="s">
        <v>453</v>
      </c>
      <c r="C94" s="301" t="s">
        <v>448</v>
      </c>
      <c r="D94" s="284">
        <v>0.56999999999999995</v>
      </c>
      <c r="E94" s="284" t="s">
        <v>546</v>
      </c>
      <c r="F94" s="284" t="s">
        <v>546</v>
      </c>
      <c r="G94" s="284" t="s">
        <v>546</v>
      </c>
      <c r="H94" s="284" t="s">
        <v>546</v>
      </c>
      <c r="I94" s="302">
        <v>61</v>
      </c>
      <c r="J94" s="302">
        <v>82.9</v>
      </c>
      <c r="K94" s="303">
        <v>75</v>
      </c>
      <c r="L94" s="284">
        <v>0</v>
      </c>
      <c r="M94" s="304" t="s">
        <v>431</v>
      </c>
      <c r="O94" s="300" t="s">
        <v>747</v>
      </c>
    </row>
    <row r="95" spans="1:15" x14ac:dyDescent="0.25">
      <c r="A95" s="299" t="s">
        <v>421</v>
      </c>
      <c r="B95" s="300" t="s">
        <v>454</v>
      </c>
      <c r="C95" s="301" t="s">
        <v>448</v>
      </c>
      <c r="D95" s="284" t="s">
        <v>546</v>
      </c>
      <c r="E95" s="284" t="s">
        <v>546</v>
      </c>
      <c r="F95" s="284" t="s">
        <v>546</v>
      </c>
      <c r="G95" s="284" t="s">
        <v>546</v>
      </c>
      <c r="H95" s="284" t="s">
        <v>546</v>
      </c>
      <c r="I95" s="302"/>
      <c r="J95" s="302"/>
      <c r="K95" s="303">
        <v>71</v>
      </c>
      <c r="L95" s="284">
        <v>0</v>
      </c>
      <c r="M95" s="304" t="s">
        <v>431</v>
      </c>
      <c r="O95" s="300" t="s">
        <v>748</v>
      </c>
    </row>
    <row r="96" spans="1:15" x14ac:dyDescent="0.25">
      <c r="A96" s="299" t="s">
        <v>97</v>
      </c>
      <c r="B96" s="300" t="s">
        <v>454</v>
      </c>
      <c r="C96" s="301" t="s">
        <v>448</v>
      </c>
      <c r="D96" s="284" t="s">
        <v>546</v>
      </c>
      <c r="E96" s="284" t="s">
        <v>546</v>
      </c>
      <c r="F96" s="284" t="s">
        <v>546</v>
      </c>
      <c r="G96" s="284" t="s">
        <v>546</v>
      </c>
      <c r="H96" s="284" t="s">
        <v>546</v>
      </c>
      <c r="I96" s="302"/>
      <c r="J96" s="302"/>
      <c r="K96" s="303">
        <v>75</v>
      </c>
      <c r="L96" s="284">
        <v>0</v>
      </c>
      <c r="M96" s="304" t="s">
        <v>431</v>
      </c>
      <c r="O96" s="300" t="s">
        <v>749</v>
      </c>
    </row>
    <row r="97" spans="1:15" x14ac:dyDescent="0.25">
      <c r="A97" s="299" t="s">
        <v>98</v>
      </c>
      <c r="B97" s="300" t="s">
        <v>460</v>
      </c>
      <c r="C97" s="301" t="s">
        <v>448</v>
      </c>
      <c r="D97" s="284" t="s">
        <v>546</v>
      </c>
      <c r="E97" s="284" t="s">
        <v>546</v>
      </c>
      <c r="F97" s="284" t="s">
        <v>546</v>
      </c>
      <c r="G97" s="284" t="s">
        <v>546</v>
      </c>
      <c r="H97" s="284" t="s">
        <v>546</v>
      </c>
      <c r="I97" s="302"/>
      <c r="J97" s="302"/>
      <c r="K97" s="303">
        <v>75</v>
      </c>
      <c r="L97" s="284">
        <v>0</v>
      </c>
      <c r="M97" s="304" t="s">
        <v>431</v>
      </c>
      <c r="O97" s="300" t="s">
        <v>750</v>
      </c>
    </row>
    <row r="98" spans="1:15" x14ac:dyDescent="0.25">
      <c r="A98" s="299" t="s">
        <v>100</v>
      </c>
      <c r="B98" s="300" t="s">
        <v>459</v>
      </c>
      <c r="C98" s="301" t="s">
        <v>448</v>
      </c>
      <c r="D98" s="284">
        <v>0.65</v>
      </c>
      <c r="E98" s="284" t="s">
        <v>546</v>
      </c>
      <c r="F98" s="284">
        <v>0.6</v>
      </c>
      <c r="G98" s="284" t="s">
        <v>546</v>
      </c>
      <c r="H98" s="284" t="s">
        <v>546</v>
      </c>
      <c r="I98" s="302">
        <v>48.1</v>
      </c>
      <c r="J98" s="302"/>
      <c r="K98" s="303">
        <v>75</v>
      </c>
      <c r="L98" s="284">
        <v>0</v>
      </c>
      <c r="M98" s="304" t="s">
        <v>431</v>
      </c>
      <c r="O98" s="300" t="s">
        <v>752</v>
      </c>
    </row>
    <row r="99" spans="1:15" x14ac:dyDescent="0.25">
      <c r="A99" s="299" t="s">
        <v>462</v>
      </c>
      <c r="B99" s="300" t="s">
        <v>461</v>
      </c>
      <c r="C99" s="301" t="s">
        <v>448</v>
      </c>
      <c r="D99" s="284" t="s">
        <v>546</v>
      </c>
      <c r="E99" s="284" t="s">
        <v>546</v>
      </c>
      <c r="F99" s="284" t="s">
        <v>546</v>
      </c>
      <c r="G99" s="284" t="s">
        <v>546</v>
      </c>
      <c r="H99" s="284" t="s">
        <v>546</v>
      </c>
      <c r="I99" s="302"/>
      <c r="J99" s="302"/>
      <c r="K99" s="303">
        <v>75</v>
      </c>
      <c r="L99" s="284">
        <v>0</v>
      </c>
      <c r="M99" s="304" t="s">
        <v>431</v>
      </c>
      <c r="O99" s="300" t="s">
        <v>731</v>
      </c>
    </row>
    <row r="100" spans="1:15" x14ac:dyDescent="0.25">
      <c r="A100" s="299" t="s">
        <v>101</v>
      </c>
      <c r="C100" s="301"/>
      <c r="D100" s="284" t="s">
        <v>546</v>
      </c>
      <c r="E100" s="284" t="s">
        <v>546</v>
      </c>
      <c r="F100" s="284" t="s">
        <v>546</v>
      </c>
      <c r="G100" s="284" t="s">
        <v>546</v>
      </c>
      <c r="H100" s="284" t="s">
        <v>546</v>
      </c>
      <c r="I100" s="302"/>
      <c r="J100" s="302"/>
      <c r="K100" s="303">
        <v>0</v>
      </c>
      <c r="L100" s="284">
        <v>0</v>
      </c>
      <c r="M100" s="304" t="s">
        <v>431</v>
      </c>
      <c r="O100" s="300" t="s">
        <v>753</v>
      </c>
    </row>
    <row r="101" spans="1:15" x14ac:dyDescent="0.25">
      <c r="A101" s="299" t="s">
        <v>102</v>
      </c>
      <c r="B101" s="300" t="s">
        <v>459</v>
      </c>
      <c r="C101" s="301" t="s">
        <v>448</v>
      </c>
      <c r="D101" s="284">
        <v>0.5</v>
      </c>
      <c r="E101" s="284" t="s">
        <v>546</v>
      </c>
      <c r="F101" s="284" t="s">
        <v>546</v>
      </c>
      <c r="G101" s="284" t="s">
        <v>546</v>
      </c>
      <c r="H101" s="284" t="s">
        <v>546</v>
      </c>
      <c r="I101" s="302"/>
      <c r="J101" s="302"/>
      <c r="K101" s="303">
        <v>70</v>
      </c>
      <c r="L101" s="284">
        <v>0</v>
      </c>
      <c r="M101" s="304" t="s">
        <v>431</v>
      </c>
      <c r="O101" s="300" t="s">
        <v>754</v>
      </c>
    </row>
    <row r="102" spans="1:15" x14ac:dyDescent="0.25">
      <c r="A102" s="299" t="s">
        <v>103</v>
      </c>
      <c r="C102" s="301"/>
      <c r="D102" s="284" t="s">
        <v>546</v>
      </c>
      <c r="E102" s="284" t="s">
        <v>546</v>
      </c>
      <c r="F102" s="284" t="s">
        <v>546</v>
      </c>
      <c r="G102" s="284" t="s">
        <v>546</v>
      </c>
      <c r="H102" s="284" t="s">
        <v>546</v>
      </c>
      <c r="I102" s="302"/>
      <c r="J102" s="302"/>
      <c r="K102" s="303">
        <v>0</v>
      </c>
      <c r="L102" s="284">
        <v>0</v>
      </c>
      <c r="M102" s="304" t="s">
        <v>431</v>
      </c>
      <c r="O102" s="300" t="s">
        <v>755</v>
      </c>
    </row>
    <row r="103" spans="1:15" x14ac:dyDescent="0.25">
      <c r="A103" s="299" t="s">
        <v>104</v>
      </c>
      <c r="B103" s="300" t="s">
        <v>420</v>
      </c>
      <c r="C103" s="301" t="s">
        <v>448</v>
      </c>
      <c r="D103" s="284">
        <v>0</v>
      </c>
      <c r="E103" s="284">
        <v>0</v>
      </c>
      <c r="F103" s="284">
        <v>0</v>
      </c>
      <c r="G103" s="284">
        <v>0</v>
      </c>
      <c r="H103" s="284">
        <v>0</v>
      </c>
      <c r="I103" s="302"/>
      <c r="J103" s="302"/>
      <c r="K103" s="303">
        <v>100</v>
      </c>
      <c r="L103" s="284">
        <v>0</v>
      </c>
      <c r="M103" s="304" t="s">
        <v>431</v>
      </c>
      <c r="O103" s="300" t="s">
        <v>756</v>
      </c>
    </row>
    <row r="104" spans="1:15" x14ac:dyDescent="0.25">
      <c r="A104" s="299" t="s">
        <v>422</v>
      </c>
      <c r="C104" s="301"/>
      <c r="D104" s="284" t="s">
        <v>546</v>
      </c>
      <c r="E104" s="284" t="s">
        <v>546</v>
      </c>
      <c r="F104" s="284" t="s">
        <v>546</v>
      </c>
      <c r="G104" s="284" t="s">
        <v>546</v>
      </c>
      <c r="H104" s="284" t="s">
        <v>546</v>
      </c>
      <c r="I104" s="302"/>
      <c r="J104" s="302"/>
      <c r="K104" s="303">
        <v>0</v>
      </c>
      <c r="L104" s="284">
        <v>0</v>
      </c>
      <c r="M104" s="304" t="s">
        <v>431</v>
      </c>
      <c r="O104" s="300" t="s">
        <v>672</v>
      </c>
    </row>
    <row r="105" spans="1:15" x14ac:dyDescent="0.25">
      <c r="A105" s="299" t="s">
        <v>105</v>
      </c>
      <c r="B105" s="300" t="s">
        <v>419</v>
      </c>
      <c r="C105" s="301" t="s">
        <v>448</v>
      </c>
      <c r="D105" s="284">
        <v>0.55000000000000004</v>
      </c>
      <c r="E105" s="284" t="s">
        <v>546</v>
      </c>
      <c r="F105" s="284" t="s">
        <v>546</v>
      </c>
      <c r="G105" s="284" t="s">
        <v>546</v>
      </c>
      <c r="H105" s="284">
        <v>0.51</v>
      </c>
      <c r="I105" s="302"/>
      <c r="J105" s="302"/>
      <c r="K105" s="303">
        <v>69</v>
      </c>
      <c r="L105" s="284">
        <v>0</v>
      </c>
      <c r="M105" s="304" t="s">
        <v>431</v>
      </c>
      <c r="O105" s="300" t="s">
        <v>759</v>
      </c>
    </row>
    <row r="106" spans="1:15" x14ac:dyDescent="0.25">
      <c r="A106" s="299" t="s">
        <v>106</v>
      </c>
      <c r="B106" s="300" t="s">
        <v>419</v>
      </c>
      <c r="C106" s="301" t="s">
        <v>448</v>
      </c>
      <c r="D106" s="284">
        <v>0.49</v>
      </c>
      <c r="E106" s="284" t="s">
        <v>546</v>
      </c>
      <c r="F106" s="284" t="s">
        <v>546</v>
      </c>
      <c r="G106" s="284" t="s">
        <v>546</v>
      </c>
      <c r="H106" s="284" t="s">
        <v>546</v>
      </c>
      <c r="I106" s="302">
        <v>48.9</v>
      </c>
      <c r="J106" s="302"/>
      <c r="K106" s="303">
        <v>85</v>
      </c>
      <c r="L106" s="284">
        <v>0</v>
      </c>
      <c r="M106" s="304" t="s">
        <v>431</v>
      </c>
      <c r="O106" s="300" t="s">
        <v>760</v>
      </c>
    </row>
    <row r="107" spans="1:15" x14ac:dyDescent="0.25">
      <c r="A107" s="299" t="s">
        <v>244</v>
      </c>
      <c r="B107" s="300" t="s">
        <v>450</v>
      </c>
      <c r="C107" s="301" t="s">
        <v>448</v>
      </c>
      <c r="D107" s="284" t="s">
        <v>546</v>
      </c>
      <c r="E107" s="284" t="s">
        <v>546</v>
      </c>
      <c r="F107" s="284" t="s">
        <v>546</v>
      </c>
      <c r="G107" s="284" t="s">
        <v>546</v>
      </c>
      <c r="H107" s="284" t="s">
        <v>546</v>
      </c>
      <c r="I107" s="302"/>
      <c r="J107" s="302"/>
      <c r="K107" s="303">
        <v>75</v>
      </c>
      <c r="L107" s="284">
        <v>0</v>
      </c>
      <c r="M107" s="304" t="s">
        <v>431</v>
      </c>
      <c r="O107" s="300" t="s">
        <v>762</v>
      </c>
    </row>
    <row r="108" spans="1:15" x14ac:dyDescent="0.25">
      <c r="A108" s="299" t="s">
        <v>107</v>
      </c>
      <c r="B108" s="300" t="s">
        <v>450</v>
      </c>
      <c r="C108" s="301" t="s">
        <v>448</v>
      </c>
      <c r="D108" s="284" t="s">
        <v>546</v>
      </c>
      <c r="E108" s="284" t="s">
        <v>546</v>
      </c>
      <c r="F108" s="284" t="s">
        <v>546</v>
      </c>
      <c r="G108" s="284" t="s">
        <v>546</v>
      </c>
      <c r="H108" s="284" t="s">
        <v>546</v>
      </c>
      <c r="I108" s="302"/>
      <c r="J108" s="302"/>
      <c r="K108" s="303">
        <v>75</v>
      </c>
      <c r="L108" s="284">
        <v>0</v>
      </c>
      <c r="M108" s="304" t="s">
        <v>431</v>
      </c>
      <c r="O108" s="300" t="s">
        <v>761</v>
      </c>
    </row>
    <row r="109" spans="1:15" x14ac:dyDescent="0.25">
      <c r="A109" s="299" t="s">
        <v>108</v>
      </c>
      <c r="B109" s="300" t="s">
        <v>420</v>
      </c>
      <c r="C109" s="301" t="s">
        <v>448</v>
      </c>
      <c r="D109" s="284">
        <v>0</v>
      </c>
      <c r="E109" s="284">
        <v>0</v>
      </c>
      <c r="F109" s="284">
        <v>0</v>
      </c>
      <c r="G109" s="284">
        <v>0</v>
      </c>
      <c r="H109" s="284">
        <v>0</v>
      </c>
      <c r="I109" s="302"/>
      <c r="J109" s="302"/>
      <c r="K109" s="303">
        <v>100</v>
      </c>
      <c r="L109" s="284">
        <v>0</v>
      </c>
      <c r="M109" s="304" t="s">
        <v>431</v>
      </c>
      <c r="O109" s="300" t="s">
        <v>763</v>
      </c>
    </row>
    <row r="110" spans="1:15" x14ac:dyDescent="0.25">
      <c r="A110" s="299" t="s">
        <v>109</v>
      </c>
      <c r="B110" s="300" t="s">
        <v>420</v>
      </c>
      <c r="C110" s="301" t="s">
        <v>448</v>
      </c>
      <c r="D110" s="284">
        <v>0</v>
      </c>
      <c r="E110" s="284">
        <v>0</v>
      </c>
      <c r="F110" s="284">
        <v>0</v>
      </c>
      <c r="G110" s="284">
        <v>0</v>
      </c>
      <c r="H110" s="284">
        <v>0</v>
      </c>
      <c r="I110" s="302"/>
      <c r="J110" s="302"/>
      <c r="K110" s="303">
        <v>100</v>
      </c>
      <c r="L110" s="284">
        <v>0</v>
      </c>
      <c r="M110" s="304" t="s">
        <v>431</v>
      </c>
      <c r="O110" s="300" t="s">
        <v>764</v>
      </c>
    </row>
    <row r="111" spans="1:15" x14ac:dyDescent="0.25">
      <c r="A111" s="299" t="s">
        <v>110</v>
      </c>
      <c r="B111" s="300" t="s">
        <v>450</v>
      </c>
      <c r="C111" s="301" t="s">
        <v>448</v>
      </c>
      <c r="D111" s="284" t="s">
        <v>546</v>
      </c>
      <c r="E111" s="284" t="s">
        <v>546</v>
      </c>
      <c r="F111" s="284" t="s">
        <v>546</v>
      </c>
      <c r="G111" s="284" t="s">
        <v>546</v>
      </c>
      <c r="H111" s="284" t="s">
        <v>546</v>
      </c>
      <c r="I111" s="302"/>
      <c r="J111" s="302"/>
      <c r="K111" s="303">
        <v>120</v>
      </c>
      <c r="L111" s="284">
        <v>0</v>
      </c>
      <c r="M111" s="304" t="s">
        <v>431</v>
      </c>
      <c r="O111" s="300" t="s">
        <v>765</v>
      </c>
    </row>
    <row r="112" spans="1:15" x14ac:dyDescent="0.25">
      <c r="A112" s="299" t="s">
        <v>111</v>
      </c>
      <c r="B112" s="300" t="s">
        <v>420</v>
      </c>
      <c r="C112" s="301" t="s">
        <v>448</v>
      </c>
      <c r="D112" s="284">
        <v>0</v>
      </c>
      <c r="E112" s="284">
        <v>0</v>
      </c>
      <c r="F112" s="284">
        <v>0</v>
      </c>
      <c r="G112" s="284">
        <v>0</v>
      </c>
      <c r="H112" s="284">
        <v>0</v>
      </c>
      <c r="I112" s="302">
        <v>59.5</v>
      </c>
      <c r="J112" s="302"/>
      <c r="K112" s="303">
        <v>110</v>
      </c>
      <c r="L112" s="284">
        <v>0</v>
      </c>
      <c r="M112" s="304" t="s">
        <v>431</v>
      </c>
      <c r="O112" s="300" t="s">
        <v>766</v>
      </c>
    </row>
    <row r="113" spans="1:15" x14ac:dyDescent="0.25">
      <c r="A113" s="299" t="s">
        <v>451</v>
      </c>
      <c r="B113" s="300" t="s">
        <v>450</v>
      </c>
      <c r="C113" s="301" t="s">
        <v>448</v>
      </c>
      <c r="D113" s="284" t="s">
        <v>546</v>
      </c>
      <c r="E113" s="284" t="s">
        <v>546</v>
      </c>
      <c r="F113" s="284" t="s">
        <v>546</v>
      </c>
      <c r="G113" s="284" t="s">
        <v>546</v>
      </c>
      <c r="H113" s="284" t="s">
        <v>546</v>
      </c>
      <c r="I113" s="302"/>
      <c r="J113" s="302"/>
      <c r="K113" s="303">
        <v>75</v>
      </c>
      <c r="L113" s="284">
        <v>0</v>
      </c>
      <c r="M113" s="304" t="s">
        <v>431</v>
      </c>
      <c r="O113" s="300" t="s">
        <v>780</v>
      </c>
    </row>
    <row r="114" spans="1:15" x14ac:dyDescent="0.25">
      <c r="A114" s="299" t="s">
        <v>112</v>
      </c>
      <c r="B114" s="300" t="s">
        <v>459</v>
      </c>
      <c r="C114" s="301" t="s">
        <v>448</v>
      </c>
      <c r="D114" s="284">
        <v>0.44</v>
      </c>
      <c r="E114" s="284" t="s">
        <v>546</v>
      </c>
      <c r="F114" s="284">
        <v>0.4</v>
      </c>
      <c r="G114" s="284" t="s">
        <v>546</v>
      </c>
      <c r="H114" s="284" t="s">
        <v>546</v>
      </c>
      <c r="I114" s="302"/>
      <c r="J114" s="302"/>
      <c r="K114" s="303">
        <v>75</v>
      </c>
      <c r="L114" s="284">
        <v>0</v>
      </c>
      <c r="M114" s="304" t="s">
        <v>431</v>
      </c>
      <c r="O114" s="300" t="s">
        <v>767</v>
      </c>
    </row>
    <row r="115" spans="1:15" x14ac:dyDescent="0.25">
      <c r="A115" s="299" t="s">
        <v>113</v>
      </c>
      <c r="B115" s="300" t="s">
        <v>419</v>
      </c>
      <c r="C115" s="301" t="s">
        <v>448</v>
      </c>
      <c r="D115" s="284">
        <v>0.19</v>
      </c>
      <c r="E115" s="284" t="s">
        <v>546</v>
      </c>
      <c r="F115" s="284">
        <v>0.19</v>
      </c>
      <c r="G115" s="284" t="s">
        <v>546</v>
      </c>
      <c r="H115" s="284" t="s">
        <v>546</v>
      </c>
      <c r="I115" s="302"/>
      <c r="J115" s="302"/>
      <c r="K115" s="303">
        <v>132</v>
      </c>
      <c r="L115" s="284">
        <v>0</v>
      </c>
      <c r="M115" s="304" t="s">
        <v>431</v>
      </c>
      <c r="O115" s="300" t="s">
        <v>768</v>
      </c>
    </row>
    <row r="116" spans="1:15" x14ac:dyDescent="0.25">
      <c r="A116" s="299" t="s">
        <v>114</v>
      </c>
      <c r="B116" s="300" t="s">
        <v>450</v>
      </c>
      <c r="C116" s="301" t="s">
        <v>448</v>
      </c>
      <c r="D116" s="284" t="s">
        <v>546</v>
      </c>
      <c r="E116" s="284" t="s">
        <v>546</v>
      </c>
      <c r="F116" s="284" t="s">
        <v>546</v>
      </c>
      <c r="G116" s="284" t="s">
        <v>546</v>
      </c>
      <c r="H116" s="284" t="s">
        <v>546</v>
      </c>
      <c r="I116" s="302"/>
      <c r="J116" s="302"/>
      <c r="K116" s="303">
        <v>75</v>
      </c>
      <c r="L116" s="284">
        <v>0</v>
      </c>
      <c r="M116" s="304" t="s">
        <v>431</v>
      </c>
      <c r="O116" s="300" t="s">
        <v>769</v>
      </c>
    </row>
    <row r="117" spans="1:15" x14ac:dyDescent="0.25">
      <c r="A117" s="299" t="s">
        <v>115</v>
      </c>
      <c r="B117" s="300" t="s">
        <v>419</v>
      </c>
      <c r="C117" s="301" t="s">
        <v>448</v>
      </c>
      <c r="D117" s="284" t="s">
        <v>546</v>
      </c>
      <c r="E117" s="284" t="s">
        <v>546</v>
      </c>
      <c r="F117" s="284" t="s">
        <v>546</v>
      </c>
      <c r="G117" s="284" t="s">
        <v>546</v>
      </c>
      <c r="H117" s="284" t="s">
        <v>546</v>
      </c>
      <c r="I117" s="302"/>
      <c r="J117" s="302"/>
      <c r="K117" s="303">
        <v>75</v>
      </c>
      <c r="L117" s="284">
        <v>0</v>
      </c>
      <c r="M117" s="304" t="s">
        <v>431</v>
      </c>
      <c r="O117" s="300" t="s">
        <v>770</v>
      </c>
    </row>
    <row r="118" spans="1:15" x14ac:dyDescent="0.25">
      <c r="A118" s="299" t="s">
        <v>116</v>
      </c>
      <c r="B118" s="300" t="s">
        <v>454</v>
      </c>
      <c r="C118" s="301" t="s">
        <v>448</v>
      </c>
      <c r="D118" s="284">
        <v>0.48</v>
      </c>
      <c r="E118" s="284" t="s">
        <v>546</v>
      </c>
      <c r="F118" s="284" t="s">
        <v>546</v>
      </c>
      <c r="G118" s="284" t="s">
        <v>546</v>
      </c>
      <c r="H118" s="284" t="s">
        <v>546</v>
      </c>
      <c r="I118" s="302">
        <v>60.8</v>
      </c>
      <c r="J118" s="302"/>
      <c r="K118" s="303">
        <v>74</v>
      </c>
      <c r="L118" s="284">
        <v>0</v>
      </c>
      <c r="M118" s="304" t="s">
        <v>431</v>
      </c>
      <c r="O118" s="300" t="s">
        <v>771</v>
      </c>
    </row>
    <row r="119" spans="1:15" x14ac:dyDescent="0.25">
      <c r="A119" s="299" t="s">
        <v>117</v>
      </c>
      <c r="B119" s="300" t="s">
        <v>419</v>
      </c>
      <c r="C119" s="301" t="s">
        <v>448</v>
      </c>
      <c r="D119" s="284" t="s">
        <v>546</v>
      </c>
      <c r="E119" s="284" t="s">
        <v>546</v>
      </c>
      <c r="F119" s="284" t="s">
        <v>546</v>
      </c>
      <c r="G119" s="284" t="s">
        <v>546</v>
      </c>
      <c r="H119" s="284" t="s">
        <v>546</v>
      </c>
      <c r="I119" s="302"/>
      <c r="J119" s="302"/>
      <c r="K119" s="303">
        <v>75</v>
      </c>
      <c r="L119" s="284">
        <v>0</v>
      </c>
      <c r="M119" s="304" t="s">
        <v>431</v>
      </c>
      <c r="O119" s="300" t="s">
        <v>772</v>
      </c>
    </row>
    <row r="120" spans="1:15" x14ac:dyDescent="0.25">
      <c r="A120" s="299" t="s">
        <v>118</v>
      </c>
      <c r="C120" s="301" t="s">
        <v>448</v>
      </c>
      <c r="D120" s="284" t="s">
        <v>546</v>
      </c>
      <c r="E120" s="284" t="s">
        <v>546</v>
      </c>
      <c r="F120" s="284" t="s">
        <v>546</v>
      </c>
      <c r="G120" s="284" t="s">
        <v>546</v>
      </c>
      <c r="H120" s="284" t="s">
        <v>546</v>
      </c>
      <c r="I120" s="302"/>
      <c r="J120" s="302"/>
      <c r="K120" s="303">
        <v>0</v>
      </c>
      <c r="L120" s="284">
        <v>0</v>
      </c>
      <c r="M120" s="304" t="s">
        <v>431</v>
      </c>
      <c r="O120" s="300" t="s">
        <v>773</v>
      </c>
    </row>
    <row r="121" spans="1:15" x14ac:dyDescent="0.25">
      <c r="A121" s="299" t="s">
        <v>119</v>
      </c>
      <c r="B121" s="300" t="s">
        <v>450</v>
      </c>
      <c r="C121" s="301" t="s">
        <v>448</v>
      </c>
      <c r="D121" s="284" t="s">
        <v>546</v>
      </c>
      <c r="E121" s="284" t="s">
        <v>546</v>
      </c>
      <c r="F121" s="284" t="s">
        <v>546</v>
      </c>
      <c r="G121" s="284" t="s">
        <v>546</v>
      </c>
      <c r="H121" s="284" t="s">
        <v>546</v>
      </c>
      <c r="I121" s="302"/>
      <c r="J121" s="302"/>
      <c r="K121" s="303">
        <v>75</v>
      </c>
      <c r="L121" s="284">
        <v>0</v>
      </c>
      <c r="M121" s="304" t="s">
        <v>431</v>
      </c>
      <c r="O121" s="300" t="s">
        <v>774</v>
      </c>
    </row>
    <row r="122" spans="1:15" x14ac:dyDescent="0.25">
      <c r="A122" s="299" t="s">
        <v>120</v>
      </c>
      <c r="B122" s="300" t="s">
        <v>419</v>
      </c>
      <c r="C122" s="301" t="s">
        <v>448</v>
      </c>
      <c r="D122" s="284">
        <v>0.5</v>
      </c>
      <c r="E122" s="284" t="s">
        <v>546</v>
      </c>
      <c r="F122" s="284" t="s">
        <v>546</v>
      </c>
      <c r="G122" s="284" t="s">
        <v>546</v>
      </c>
      <c r="H122" s="284" t="s">
        <v>546</v>
      </c>
      <c r="I122" s="302">
        <v>56.5</v>
      </c>
      <c r="J122" s="302"/>
      <c r="K122" s="303">
        <v>75</v>
      </c>
      <c r="L122" s="284">
        <v>0</v>
      </c>
      <c r="M122" s="304" t="s">
        <v>431</v>
      </c>
      <c r="O122" s="300" t="s">
        <v>775</v>
      </c>
    </row>
    <row r="123" spans="1:15" x14ac:dyDescent="0.25">
      <c r="A123" s="299" t="s">
        <v>121</v>
      </c>
      <c r="C123" s="301"/>
      <c r="D123" s="284" t="s">
        <v>546</v>
      </c>
      <c r="E123" s="284" t="s">
        <v>546</v>
      </c>
      <c r="F123" s="284" t="s">
        <v>546</v>
      </c>
      <c r="G123" s="284" t="s">
        <v>546</v>
      </c>
      <c r="H123" s="284" t="s">
        <v>546</v>
      </c>
      <c r="I123" s="302"/>
      <c r="J123" s="302"/>
      <c r="K123" s="303">
        <v>0</v>
      </c>
      <c r="L123" s="284">
        <v>0</v>
      </c>
      <c r="M123" s="304" t="s">
        <v>431</v>
      </c>
      <c r="O123" s="300" t="s">
        <v>776</v>
      </c>
    </row>
    <row r="124" spans="1:15" x14ac:dyDescent="0.25">
      <c r="A124" s="299" t="s">
        <v>122</v>
      </c>
      <c r="B124" s="300" t="s">
        <v>420</v>
      </c>
      <c r="C124" s="301" t="s">
        <v>448</v>
      </c>
      <c r="D124" s="284">
        <v>0</v>
      </c>
      <c r="E124" s="284">
        <v>0</v>
      </c>
      <c r="F124" s="284">
        <v>0</v>
      </c>
      <c r="G124" s="284">
        <v>0</v>
      </c>
      <c r="H124" s="284">
        <v>0</v>
      </c>
      <c r="I124" s="302"/>
      <c r="J124" s="302"/>
      <c r="K124" s="303">
        <v>100</v>
      </c>
      <c r="L124" s="284">
        <v>0</v>
      </c>
      <c r="M124" s="304" t="s">
        <v>431</v>
      </c>
      <c r="O124" s="300" t="s">
        <v>777</v>
      </c>
    </row>
    <row r="125" spans="1:15" x14ac:dyDescent="0.25">
      <c r="A125" s="299" t="s">
        <v>123</v>
      </c>
      <c r="B125" s="300" t="s">
        <v>450</v>
      </c>
      <c r="C125" s="301" t="s">
        <v>448</v>
      </c>
      <c r="D125" s="284" t="s">
        <v>546</v>
      </c>
      <c r="E125" s="284" t="s">
        <v>546</v>
      </c>
      <c r="F125" s="284" t="s">
        <v>546</v>
      </c>
      <c r="G125" s="284" t="s">
        <v>546</v>
      </c>
      <c r="H125" s="284" t="s">
        <v>546</v>
      </c>
      <c r="I125" s="302"/>
      <c r="J125" s="302"/>
      <c r="K125" s="303">
        <v>75</v>
      </c>
      <c r="L125" s="284">
        <v>0</v>
      </c>
      <c r="M125" s="304" t="s">
        <v>431</v>
      </c>
      <c r="O125" s="300" t="s">
        <v>778</v>
      </c>
    </row>
    <row r="126" spans="1:15" x14ac:dyDescent="0.25">
      <c r="A126" s="299" t="s">
        <v>124</v>
      </c>
      <c r="B126" s="300" t="s">
        <v>454</v>
      </c>
      <c r="C126" s="301" t="s">
        <v>448</v>
      </c>
      <c r="D126" s="284">
        <v>0.53</v>
      </c>
      <c r="E126" s="284" t="s">
        <v>546</v>
      </c>
      <c r="F126" s="284" t="s">
        <v>546</v>
      </c>
      <c r="G126" s="284" t="s">
        <v>546</v>
      </c>
      <c r="H126" s="284" t="s">
        <v>546</v>
      </c>
      <c r="I126" s="302"/>
      <c r="J126" s="302"/>
      <c r="K126" s="303">
        <v>75</v>
      </c>
      <c r="L126" s="284">
        <v>0</v>
      </c>
      <c r="M126" s="304" t="s">
        <v>431</v>
      </c>
      <c r="O126" s="300" t="s">
        <v>779</v>
      </c>
    </row>
    <row r="127" spans="1:15" x14ac:dyDescent="0.25">
      <c r="A127" s="299" t="s">
        <v>125</v>
      </c>
      <c r="B127" s="300" t="s">
        <v>420</v>
      </c>
      <c r="C127" s="301"/>
      <c r="D127" s="284">
        <v>0</v>
      </c>
      <c r="E127" s="284">
        <v>0</v>
      </c>
      <c r="F127" s="284">
        <v>0</v>
      </c>
      <c r="G127" s="284">
        <v>0</v>
      </c>
      <c r="H127" s="284">
        <v>0</v>
      </c>
      <c r="I127" s="302"/>
      <c r="J127" s="302"/>
      <c r="K127" s="303">
        <v>0</v>
      </c>
      <c r="L127" s="284">
        <v>0</v>
      </c>
      <c r="M127" s="304" t="s">
        <v>431</v>
      </c>
      <c r="O127" s="300" t="s">
        <v>781</v>
      </c>
    </row>
    <row r="128" spans="1:15" x14ac:dyDescent="0.25">
      <c r="A128" s="299" t="s">
        <v>126</v>
      </c>
      <c r="B128" s="300" t="s">
        <v>420</v>
      </c>
      <c r="C128" s="301" t="s">
        <v>448</v>
      </c>
      <c r="D128" s="284">
        <v>0</v>
      </c>
      <c r="E128" s="284">
        <v>0</v>
      </c>
      <c r="F128" s="284">
        <v>0</v>
      </c>
      <c r="G128" s="284">
        <v>0</v>
      </c>
      <c r="H128" s="284">
        <v>0</v>
      </c>
      <c r="I128" s="302"/>
      <c r="J128" s="302"/>
      <c r="K128" s="303">
        <v>100</v>
      </c>
      <c r="L128" s="284">
        <v>0</v>
      </c>
      <c r="M128" s="304" t="s">
        <v>431</v>
      </c>
      <c r="O128" s="300" t="s">
        <v>782</v>
      </c>
    </row>
    <row r="129" spans="1:15" x14ac:dyDescent="0.25">
      <c r="A129" s="299" t="s">
        <v>127</v>
      </c>
      <c r="B129" s="300" t="s">
        <v>420</v>
      </c>
      <c r="C129" s="301" t="s">
        <v>448</v>
      </c>
      <c r="D129" s="284">
        <v>0</v>
      </c>
      <c r="E129" s="284">
        <v>0</v>
      </c>
      <c r="F129" s="284">
        <v>0</v>
      </c>
      <c r="G129" s="284">
        <v>0</v>
      </c>
      <c r="H129" s="284">
        <v>0</v>
      </c>
      <c r="I129" s="302"/>
      <c r="J129" s="302"/>
      <c r="K129" s="303">
        <v>100</v>
      </c>
      <c r="L129" s="284">
        <v>0</v>
      </c>
      <c r="M129" s="304" t="s">
        <v>431</v>
      </c>
      <c r="O129" s="300" t="s">
        <v>783</v>
      </c>
    </row>
    <row r="130" spans="1:15" x14ac:dyDescent="0.25">
      <c r="A130" s="299" t="s">
        <v>128</v>
      </c>
      <c r="B130" s="300" t="s">
        <v>419</v>
      </c>
      <c r="C130" s="301" t="s">
        <v>448</v>
      </c>
      <c r="D130" s="284" t="s">
        <v>546</v>
      </c>
      <c r="E130" s="284" t="s">
        <v>546</v>
      </c>
      <c r="F130" s="284" t="s">
        <v>546</v>
      </c>
      <c r="G130" s="284" t="s">
        <v>546</v>
      </c>
      <c r="H130" s="284" t="s">
        <v>546</v>
      </c>
      <c r="I130" s="302"/>
      <c r="J130" s="302"/>
      <c r="K130" s="303">
        <v>75</v>
      </c>
      <c r="L130" s="284">
        <v>0</v>
      </c>
      <c r="M130" s="304" t="s">
        <v>431</v>
      </c>
      <c r="O130" s="300" t="s">
        <v>784</v>
      </c>
    </row>
    <row r="131" spans="1:15" x14ac:dyDescent="0.25">
      <c r="A131" s="299" t="s">
        <v>129</v>
      </c>
      <c r="B131" s="300" t="s">
        <v>420</v>
      </c>
      <c r="C131" s="301"/>
      <c r="D131" s="284">
        <v>0</v>
      </c>
      <c r="E131" s="284">
        <v>0</v>
      </c>
      <c r="F131" s="284">
        <v>0</v>
      </c>
      <c r="G131" s="284">
        <v>0</v>
      </c>
      <c r="H131" s="284">
        <v>0</v>
      </c>
      <c r="I131" s="302"/>
      <c r="J131" s="302"/>
      <c r="K131" s="303">
        <v>0</v>
      </c>
      <c r="L131" s="284">
        <v>0</v>
      </c>
      <c r="M131" s="304" t="s">
        <v>431</v>
      </c>
      <c r="O131" s="300" t="s">
        <v>785</v>
      </c>
    </row>
    <row r="132" spans="1:15" x14ac:dyDescent="0.25">
      <c r="A132" s="299" t="s">
        <v>130</v>
      </c>
      <c r="B132" s="300" t="s">
        <v>455</v>
      </c>
      <c r="C132" s="301" t="s">
        <v>448</v>
      </c>
      <c r="D132" s="284">
        <v>0.53</v>
      </c>
      <c r="E132" s="284" t="s">
        <v>546</v>
      </c>
      <c r="F132" s="284" t="s">
        <v>546</v>
      </c>
      <c r="G132" s="284" t="s">
        <v>546</v>
      </c>
      <c r="H132" s="284">
        <v>0.49</v>
      </c>
      <c r="I132" s="302">
        <v>56.4</v>
      </c>
      <c r="J132" s="302"/>
      <c r="K132" s="303">
        <v>64</v>
      </c>
      <c r="L132" s="284">
        <v>0</v>
      </c>
      <c r="M132" s="304" t="s">
        <v>431</v>
      </c>
      <c r="O132" s="300" t="s">
        <v>786</v>
      </c>
    </row>
    <row r="133" spans="1:15" x14ac:dyDescent="0.25">
      <c r="A133" s="299" t="s">
        <v>131</v>
      </c>
      <c r="B133" s="300" t="s">
        <v>450</v>
      </c>
      <c r="C133" s="301" t="s">
        <v>448</v>
      </c>
      <c r="D133" s="284" t="s">
        <v>546</v>
      </c>
      <c r="E133" s="284" t="s">
        <v>546</v>
      </c>
      <c r="F133" s="284" t="s">
        <v>546</v>
      </c>
      <c r="G133" s="284" t="s">
        <v>546</v>
      </c>
      <c r="H133" s="284" t="s">
        <v>546</v>
      </c>
      <c r="I133" s="302"/>
      <c r="J133" s="302"/>
      <c r="K133" s="303">
        <v>68</v>
      </c>
      <c r="L133" s="284">
        <v>0</v>
      </c>
      <c r="M133" s="304" t="s">
        <v>431</v>
      </c>
      <c r="O133" s="300" t="s">
        <v>787</v>
      </c>
    </row>
    <row r="134" spans="1:15" x14ac:dyDescent="0.25">
      <c r="A134" s="299" t="s">
        <v>132</v>
      </c>
      <c r="B134" s="300" t="s">
        <v>419</v>
      </c>
      <c r="C134" s="301" t="s">
        <v>448</v>
      </c>
      <c r="D134" s="284">
        <v>0.37</v>
      </c>
      <c r="E134" s="284" t="s">
        <v>546</v>
      </c>
      <c r="F134" s="284" t="s">
        <v>546</v>
      </c>
      <c r="G134" s="284" t="s">
        <v>546</v>
      </c>
      <c r="H134" s="284">
        <v>0.36</v>
      </c>
      <c r="I134" s="302">
        <v>43.1</v>
      </c>
      <c r="J134" s="302"/>
      <c r="K134" s="303">
        <v>79</v>
      </c>
      <c r="L134" s="284">
        <v>0</v>
      </c>
      <c r="M134" s="304" t="s">
        <v>431</v>
      </c>
      <c r="O134" s="300" t="s">
        <v>788</v>
      </c>
    </row>
    <row r="135" spans="1:15" x14ac:dyDescent="0.25">
      <c r="A135" s="299" t="s">
        <v>133</v>
      </c>
      <c r="B135" s="300" t="s">
        <v>454</v>
      </c>
      <c r="C135" s="301" t="s">
        <v>448</v>
      </c>
      <c r="D135" s="284" t="s">
        <v>546</v>
      </c>
      <c r="E135" s="284" t="s">
        <v>546</v>
      </c>
      <c r="F135" s="284" t="s">
        <v>546</v>
      </c>
      <c r="G135" s="284" t="s">
        <v>546</v>
      </c>
      <c r="H135" s="284" t="s">
        <v>546</v>
      </c>
      <c r="I135" s="302"/>
      <c r="J135" s="302"/>
      <c r="K135" s="303">
        <v>75</v>
      </c>
      <c r="L135" s="284">
        <v>0</v>
      </c>
      <c r="M135" s="304" t="s">
        <v>431</v>
      </c>
      <c r="O135" s="300" t="s">
        <v>789</v>
      </c>
    </row>
    <row r="136" spans="1:15" x14ac:dyDescent="0.25">
      <c r="A136" s="299" t="s">
        <v>134</v>
      </c>
      <c r="C136" s="301"/>
      <c r="D136" s="284" t="s">
        <v>546</v>
      </c>
      <c r="E136" s="284" t="s">
        <v>546</v>
      </c>
      <c r="F136" s="284" t="s">
        <v>546</v>
      </c>
      <c r="G136" s="284" t="s">
        <v>546</v>
      </c>
      <c r="H136" s="284" t="s">
        <v>546</v>
      </c>
      <c r="I136" s="302"/>
      <c r="J136" s="302"/>
      <c r="K136" s="303">
        <v>0</v>
      </c>
      <c r="L136" s="284">
        <v>0</v>
      </c>
      <c r="M136" s="304" t="s">
        <v>431</v>
      </c>
      <c r="O136" s="300" t="s">
        <v>790</v>
      </c>
    </row>
    <row r="137" spans="1:15" x14ac:dyDescent="0.25">
      <c r="A137" s="299" t="s">
        <v>135</v>
      </c>
      <c r="B137" s="300" t="s">
        <v>453</v>
      </c>
      <c r="C137" s="301" t="s">
        <v>448</v>
      </c>
      <c r="D137" s="284">
        <v>0.66</v>
      </c>
      <c r="E137" s="284" t="s">
        <v>546</v>
      </c>
      <c r="F137" s="284" t="s">
        <v>546</v>
      </c>
      <c r="G137" s="284" t="s">
        <v>546</v>
      </c>
      <c r="H137" s="284" t="s">
        <v>546</v>
      </c>
      <c r="I137" s="302">
        <v>54.7</v>
      </c>
      <c r="J137" s="302"/>
      <c r="K137" s="303">
        <v>77</v>
      </c>
      <c r="L137" s="284">
        <v>0</v>
      </c>
      <c r="M137" s="304" t="s">
        <v>431</v>
      </c>
      <c r="O137" s="300" t="s">
        <v>791</v>
      </c>
    </row>
    <row r="138" spans="1:15" x14ac:dyDescent="0.25">
      <c r="A138" s="299" t="s">
        <v>136</v>
      </c>
      <c r="B138" s="300" t="s">
        <v>420</v>
      </c>
      <c r="C138" s="301" t="s">
        <v>448</v>
      </c>
      <c r="D138" s="284">
        <v>0</v>
      </c>
      <c r="E138" s="284">
        <v>0</v>
      </c>
      <c r="F138" s="284">
        <v>0</v>
      </c>
      <c r="G138" s="284">
        <v>0</v>
      </c>
      <c r="H138" s="284">
        <v>0</v>
      </c>
      <c r="I138" s="302"/>
      <c r="J138" s="302"/>
      <c r="K138" s="303">
        <v>100</v>
      </c>
      <c r="L138" s="284">
        <v>0</v>
      </c>
      <c r="M138" s="304" t="s">
        <v>431</v>
      </c>
      <c r="O138" s="300" t="s">
        <v>792</v>
      </c>
    </row>
    <row r="139" spans="1:15" x14ac:dyDescent="0.25">
      <c r="A139" s="299" t="s">
        <v>137</v>
      </c>
      <c r="C139" s="301"/>
      <c r="D139" s="284" t="s">
        <v>546</v>
      </c>
      <c r="E139" s="284" t="s">
        <v>546</v>
      </c>
      <c r="F139" s="284" t="s">
        <v>546</v>
      </c>
      <c r="G139" s="284" t="s">
        <v>546</v>
      </c>
      <c r="H139" s="284" t="s">
        <v>546</v>
      </c>
      <c r="I139" s="302"/>
      <c r="J139" s="302"/>
      <c r="K139" s="303">
        <v>0</v>
      </c>
      <c r="L139" s="284">
        <v>0</v>
      </c>
      <c r="M139" s="304" t="s">
        <v>431</v>
      </c>
      <c r="O139" s="300" t="s">
        <v>793</v>
      </c>
    </row>
    <row r="140" spans="1:15" x14ac:dyDescent="0.25">
      <c r="A140" s="299" t="s">
        <v>138</v>
      </c>
      <c r="B140" s="300" t="s">
        <v>450</v>
      </c>
      <c r="C140" s="301" t="s">
        <v>448</v>
      </c>
      <c r="D140" s="284">
        <v>0.35</v>
      </c>
      <c r="E140" s="284" t="s">
        <v>546</v>
      </c>
      <c r="F140" s="284">
        <v>0.37</v>
      </c>
      <c r="G140" s="284" t="s">
        <v>546</v>
      </c>
      <c r="H140" s="284" t="s">
        <v>546</v>
      </c>
      <c r="I140" s="302">
        <v>44.1</v>
      </c>
      <c r="J140" s="302"/>
      <c r="K140" s="303">
        <v>69</v>
      </c>
      <c r="L140" s="284">
        <v>0</v>
      </c>
      <c r="M140" s="304" t="s">
        <v>431</v>
      </c>
      <c r="O140" s="300" t="s">
        <v>659</v>
      </c>
    </row>
    <row r="141" spans="1:15" x14ac:dyDescent="0.25">
      <c r="A141" s="299" t="s">
        <v>139</v>
      </c>
      <c r="C141" s="301"/>
      <c r="D141" s="284" t="s">
        <v>546</v>
      </c>
      <c r="E141" s="284" t="s">
        <v>546</v>
      </c>
      <c r="F141" s="284" t="s">
        <v>546</v>
      </c>
      <c r="G141" s="284" t="s">
        <v>546</v>
      </c>
      <c r="H141" s="284" t="s">
        <v>546</v>
      </c>
      <c r="I141" s="302"/>
      <c r="J141" s="302"/>
      <c r="K141" s="303">
        <v>0</v>
      </c>
      <c r="L141" s="284">
        <v>0</v>
      </c>
      <c r="M141" s="304" t="s">
        <v>431</v>
      </c>
      <c r="O141" s="300" t="s">
        <v>794</v>
      </c>
    </row>
    <row r="142" spans="1:15" x14ac:dyDescent="0.25">
      <c r="A142" s="299" t="s">
        <v>467</v>
      </c>
      <c r="B142" s="300" t="s">
        <v>455</v>
      </c>
      <c r="C142" s="301" t="s">
        <v>448</v>
      </c>
      <c r="D142" s="284">
        <v>0.27</v>
      </c>
      <c r="E142" s="284" t="s">
        <v>546</v>
      </c>
      <c r="F142" s="284" t="s">
        <v>546</v>
      </c>
      <c r="G142" s="284" t="s">
        <v>546</v>
      </c>
      <c r="H142" s="284">
        <v>0.23</v>
      </c>
      <c r="I142" s="302">
        <v>48.5</v>
      </c>
      <c r="J142" s="302"/>
      <c r="K142" s="303">
        <v>75</v>
      </c>
      <c r="L142" s="284">
        <v>0</v>
      </c>
      <c r="M142" s="304" t="s">
        <v>431</v>
      </c>
      <c r="O142" s="300" t="s">
        <v>796</v>
      </c>
    </row>
    <row r="143" spans="1:15" x14ac:dyDescent="0.25">
      <c r="A143" s="299" t="s">
        <v>466</v>
      </c>
      <c r="B143" s="300" t="s">
        <v>455</v>
      </c>
      <c r="C143" s="301" t="s">
        <v>448</v>
      </c>
      <c r="D143" s="284">
        <v>0.27</v>
      </c>
      <c r="E143" s="284" t="s">
        <v>546</v>
      </c>
      <c r="F143" s="284" t="s">
        <v>546</v>
      </c>
      <c r="G143" s="284" t="s">
        <v>546</v>
      </c>
      <c r="H143" s="284">
        <v>0.23</v>
      </c>
      <c r="I143" s="302"/>
      <c r="J143" s="302"/>
      <c r="K143" s="303">
        <v>75</v>
      </c>
      <c r="L143" s="284">
        <v>0</v>
      </c>
      <c r="M143" s="304" t="s">
        <v>431</v>
      </c>
      <c r="O143" s="300" t="s">
        <v>796</v>
      </c>
    </row>
    <row r="144" spans="1:15" x14ac:dyDescent="0.25">
      <c r="A144" s="299" t="s">
        <v>141</v>
      </c>
      <c r="B144" s="300" t="s">
        <v>453</v>
      </c>
      <c r="C144" s="301" t="s">
        <v>448</v>
      </c>
      <c r="D144" s="284">
        <v>0.56999999999999995</v>
      </c>
      <c r="E144" s="284" t="s">
        <v>546</v>
      </c>
      <c r="F144" s="284" t="s">
        <v>546</v>
      </c>
      <c r="G144" s="284" t="s">
        <v>546</v>
      </c>
      <c r="H144" s="284" t="s">
        <v>546</v>
      </c>
      <c r="I144" s="302"/>
      <c r="J144" s="302"/>
      <c r="K144" s="303">
        <v>75</v>
      </c>
      <c r="L144" s="284">
        <v>0</v>
      </c>
      <c r="M144" s="304" t="s">
        <v>431</v>
      </c>
      <c r="O144" s="300" t="s">
        <v>797</v>
      </c>
    </row>
    <row r="145" spans="1:15" x14ac:dyDescent="0.25">
      <c r="A145" s="299" t="s">
        <v>143</v>
      </c>
      <c r="B145" s="300" t="s">
        <v>459</v>
      </c>
      <c r="C145" s="301" t="s">
        <v>448</v>
      </c>
      <c r="D145" s="284">
        <v>0.47</v>
      </c>
      <c r="E145" s="284" t="s">
        <v>546</v>
      </c>
      <c r="F145" s="284" t="s">
        <v>546</v>
      </c>
      <c r="G145" s="284" t="s">
        <v>546</v>
      </c>
      <c r="H145" s="284" t="s">
        <v>546</v>
      </c>
      <c r="I145" s="302">
        <v>38.9</v>
      </c>
      <c r="J145" s="302"/>
      <c r="K145" s="303">
        <v>60</v>
      </c>
      <c r="L145" s="284">
        <v>0</v>
      </c>
      <c r="M145" s="304" t="s">
        <v>431</v>
      </c>
      <c r="O145" s="300" t="s">
        <v>799</v>
      </c>
    </row>
    <row r="146" spans="1:15" x14ac:dyDescent="0.25">
      <c r="A146" s="299" t="s">
        <v>144</v>
      </c>
      <c r="C146" s="301"/>
      <c r="D146" s="284" t="s">
        <v>546</v>
      </c>
      <c r="E146" s="284" t="s">
        <v>546</v>
      </c>
      <c r="F146" s="284" t="s">
        <v>546</v>
      </c>
      <c r="G146" s="284" t="s">
        <v>546</v>
      </c>
      <c r="H146" s="284" t="s">
        <v>546</v>
      </c>
      <c r="I146" s="302"/>
      <c r="J146" s="302"/>
      <c r="K146" s="303">
        <v>0</v>
      </c>
      <c r="L146" s="284">
        <v>0</v>
      </c>
      <c r="M146" s="304" t="s">
        <v>431</v>
      </c>
      <c r="O146" s="300" t="s">
        <v>800</v>
      </c>
    </row>
    <row r="147" spans="1:15" x14ac:dyDescent="0.25">
      <c r="A147" s="299" t="s">
        <v>145</v>
      </c>
      <c r="B147" s="300" t="s">
        <v>420</v>
      </c>
      <c r="C147" s="301" t="s">
        <v>448</v>
      </c>
      <c r="D147" s="284">
        <v>0</v>
      </c>
      <c r="E147" s="284">
        <v>0</v>
      </c>
      <c r="F147" s="284">
        <v>0</v>
      </c>
      <c r="G147" s="284">
        <v>0</v>
      </c>
      <c r="H147" s="284">
        <v>0</v>
      </c>
      <c r="I147" s="302"/>
      <c r="J147" s="302"/>
      <c r="K147" s="303">
        <v>100</v>
      </c>
      <c r="L147" s="284">
        <v>0</v>
      </c>
      <c r="M147" s="304" t="s">
        <v>431</v>
      </c>
      <c r="O147" s="300" t="s">
        <v>801</v>
      </c>
    </row>
    <row r="148" spans="1:15" x14ac:dyDescent="0.25">
      <c r="A148" s="299" t="s">
        <v>146</v>
      </c>
      <c r="B148" s="300" t="s">
        <v>420</v>
      </c>
      <c r="C148" s="301"/>
      <c r="D148" s="284">
        <v>0</v>
      </c>
      <c r="E148" s="284">
        <v>0</v>
      </c>
      <c r="F148" s="284">
        <v>0</v>
      </c>
      <c r="G148" s="284">
        <v>0</v>
      </c>
      <c r="H148" s="284">
        <v>0</v>
      </c>
      <c r="I148" s="302"/>
      <c r="J148" s="302"/>
      <c r="K148" s="303">
        <v>0</v>
      </c>
      <c r="L148" s="284">
        <v>0</v>
      </c>
      <c r="M148" s="304" t="s">
        <v>431</v>
      </c>
      <c r="O148" s="300" t="s">
        <v>802</v>
      </c>
    </row>
    <row r="149" spans="1:15" x14ac:dyDescent="0.25">
      <c r="A149" s="299" t="s">
        <v>147</v>
      </c>
      <c r="B149" s="300" t="s">
        <v>419</v>
      </c>
      <c r="C149" s="301" t="s">
        <v>448</v>
      </c>
      <c r="D149" s="284">
        <v>0.46</v>
      </c>
      <c r="E149" s="284" t="s">
        <v>546</v>
      </c>
      <c r="F149" s="284" t="s">
        <v>546</v>
      </c>
      <c r="G149" s="284" t="s">
        <v>546</v>
      </c>
      <c r="H149" s="284" t="s">
        <v>546</v>
      </c>
      <c r="I149" s="302"/>
      <c r="J149" s="302"/>
      <c r="K149" s="303">
        <v>75</v>
      </c>
      <c r="L149" s="284">
        <v>0</v>
      </c>
      <c r="M149" s="304" t="s">
        <v>431</v>
      </c>
      <c r="O149" s="300" t="s">
        <v>803</v>
      </c>
    </row>
    <row r="150" spans="1:15" x14ac:dyDescent="0.25">
      <c r="A150" s="299" t="s">
        <v>245</v>
      </c>
      <c r="B150" s="300" t="s">
        <v>420</v>
      </c>
      <c r="C150" s="301"/>
      <c r="D150" s="284">
        <v>0</v>
      </c>
      <c r="E150" s="284">
        <v>0</v>
      </c>
      <c r="F150" s="284">
        <v>0</v>
      </c>
      <c r="G150" s="284">
        <v>0</v>
      </c>
      <c r="H150" s="284">
        <v>0</v>
      </c>
      <c r="I150" s="302"/>
      <c r="J150" s="302"/>
      <c r="K150" s="303">
        <v>0</v>
      </c>
      <c r="L150" s="284">
        <v>0</v>
      </c>
      <c r="M150" s="304" t="s">
        <v>431</v>
      </c>
      <c r="O150" s="300" t="s">
        <v>804</v>
      </c>
    </row>
    <row r="151" spans="1:15" x14ac:dyDescent="0.25">
      <c r="A151" s="299" t="s">
        <v>148</v>
      </c>
      <c r="C151" s="301"/>
      <c r="D151" s="284" t="s">
        <v>546</v>
      </c>
      <c r="E151" s="284" t="s">
        <v>546</v>
      </c>
      <c r="F151" s="284" t="s">
        <v>546</v>
      </c>
      <c r="G151" s="284" t="s">
        <v>546</v>
      </c>
      <c r="H151" s="284" t="s">
        <v>546</v>
      </c>
      <c r="I151" s="302"/>
      <c r="J151" s="302"/>
      <c r="K151" s="303">
        <v>0</v>
      </c>
      <c r="L151" s="284">
        <v>0</v>
      </c>
      <c r="M151" s="304" t="s">
        <v>431</v>
      </c>
      <c r="O151" s="300" t="s">
        <v>805</v>
      </c>
    </row>
    <row r="152" spans="1:15" x14ac:dyDescent="0.25">
      <c r="A152" s="299" t="s">
        <v>149</v>
      </c>
      <c r="B152" s="300" t="s">
        <v>454</v>
      </c>
      <c r="C152" s="301" t="s">
        <v>448</v>
      </c>
      <c r="D152" s="284">
        <v>0.62</v>
      </c>
      <c r="E152" s="284" t="s">
        <v>546</v>
      </c>
      <c r="F152" s="284" t="s">
        <v>546</v>
      </c>
      <c r="G152" s="284" t="s">
        <v>546</v>
      </c>
      <c r="H152" s="284" t="s">
        <v>546</v>
      </c>
      <c r="I152" s="302">
        <v>58.8</v>
      </c>
      <c r="J152" s="302"/>
      <c r="K152" s="303">
        <v>90</v>
      </c>
      <c r="L152" s="284">
        <v>0</v>
      </c>
      <c r="M152" s="304" t="s">
        <v>431</v>
      </c>
      <c r="O152" s="300" t="s">
        <v>806</v>
      </c>
    </row>
    <row r="153" spans="1:15" x14ac:dyDescent="0.25">
      <c r="A153" s="299" t="s">
        <v>150</v>
      </c>
      <c r="B153" s="300" t="s">
        <v>419</v>
      </c>
      <c r="C153" s="301" t="s">
        <v>448</v>
      </c>
      <c r="D153" s="284">
        <v>0.64</v>
      </c>
      <c r="E153" s="284" t="s">
        <v>546</v>
      </c>
      <c r="F153" s="284" t="s">
        <v>546</v>
      </c>
      <c r="G153" s="284" t="s">
        <v>546</v>
      </c>
      <c r="H153" s="284" t="s">
        <v>546</v>
      </c>
      <c r="I153" s="302"/>
      <c r="J153" s="302"/>
      <c r="K153" s="303">
        <v>75</v>
      </c>
      <c r="L153" s="284">
        <v>0</v>
      </c>
      <c r="M153" s="304" t="s">
        <v>431</v>
      </c>
      <c r="O153" s="300" t="s">
        <v>807</v>
      </c>
    </row>
    <row r="154" spans="1:15" x14ac:dyDescent="0.25">
      <c r="A154" s="299" t="s">
        <v>151</v>
      </c>
      <c r="B154" s="300" t="s">
        <v>454</v>
      </c>
      <c r="C154" s="301" t="s">
        <v>448</v>
      </c>
      <c r="D154" s="284" t="s">
        <v>546</v>
      </c>
      <c r="E154" s="284" t="s">
        <v>546</v>
      </c>
      <c r="F154" s="284" t="s">
        <v>546</v>
      </c>
      <c r="G154" s="284" t="s">
        <v>546</v>
      </c>
      <c r="H154" s="284" t="s">
        <v>546</v>
      </c>
      <c r="I154" s="302"/>
      <c r="J154" s="302"/>
      <c r="K154" s="303">
        <v>75</v>
      </c>
      <c r="L154" s="284">
        <v>0</v>
      </c>
      <c r="M154" s="304" t="s">
        <v>431</v>
      </c>
      <c r="O154" s="300" t="s">
        <v>808</v>
      </c>
    </row>
    <row r="155" spans="1:15" x14ac:dyDescent="0.25">
      <c r="A155" s="299" t="s">
        <v>152</v>
      </c>
      <c r="B155" s="300" t="s">
        <v>461</v>
      </c>
      <c r="C155" s="301" t="s">
        <v>448</v>
      </c>
      <c r="D155" s="284" t="s">
        <v>546</v>
      </c>
      <c r="E155" s="284" t="s">
        <v>546</v>
      </c>
      <c r="F155" s="284" t="s">
        <v>546</v>
      </c>
      <c r="G155" s="284" t="s">
        <v>546</v>
      </c>
      <c r="H155" s="284" t="s">
        <v>546</v>
      </c>
      <c r="I155" s="302"/>
      <c r="J155" s="302"/>
      <c r="K155" s="303">
        <v>75</v>
      </c>
      <c r="L155" s="284">
        <v>0</v>
      </c>
      <c r="M155" s="304" t="s">
        <v>431</v>
      </c>
      <c r="O155" s="300" t="s">
        <v>809</v>
      </c>
    </row>
    <row r="156" spans="1:15" x14ac:dyDescent="0.25">
      <c r="A156" s="299" t="s">
        <v>153</v>
      </c>
      <c r="B156" s="300" t="s">
        <v>419</v>
      </c>
      <c r="C156" s="301" t="s">
        <v>448</v>
      </c>
      <c r="D156" s="284" t="s">
        <v>546</v>
      </c>
      <c r="E156" s="284" t="s">
        <v>546</v>
      </c>
      <c r="F156" s="284" t="s">
        <v>546</v>
      </c>
      <c r="G156" s="284" t="s">
        <v>546</v>
      </c>
      <c r="H156" s="284" t="s">
        <v>546</v>
      </c>
      <c r="I156" s="302"/>
      <c r="J156" s="302"/>
      <c r="K156" s="303">
        <v>75</v>
      </c>
      <c r="L156" s="284">
        <v>0</v>
      </c>
      <c r="M156" s="304" t="s">
        <v>431</v>
      </c>
      <c r="O156" s="300" t="s">
        <v>810</v>
      </c>
    </row>
    <row r="157" spans="1:15" x14ac:dyDescent="0.25">
      <c r="A157" s="299" t="s">
        <v>154</v>
      </c>
      <c r="B157" s="300" t="s">
        <v>459</v>
      </c>
      <c r="C157" s="301" t="s">
        <v>448</v>
      </c>
      <c r="D157" s="284">
        <v>0.51</v>
      </c>
      <c r="E157" s="284" t="s">
        <v>546</v>
      </c>
      <c r="F157" s="284" t="s">
        <v>546</v>
      </c>
      <c r="G157" s="284" t="s">
        <v>546</v>
      </c>
      <c r="H157" s="284" t="s">
        <v>546</v>
      </c>
      <c r="I157" s="302">
        <v>40</v>
      </c>
      <c r="J157" s="302"/>
      <c r="K157" s="303">
        <v>70</v>
      </c>
      <c r="L157" s="284">
        <v>0</v>
      </c>
      <c r="M157" s="304" t="s">
        <v>431</v>
      </c>
      <c r="O157" s="300" t="s">
        <v>811</v>
      </c>
    </row>
    <row r="158" spans="1:15" x14ac:dyDescent="0.25">
      <c r="A158" s="299" t="s">
        <v>155</v>
      </c>
      <c r="B158" s="300" t="s">
        <v>453</v>
      </c>
      <c r="C158" s="301" t="s">
        <v>448</v>
      </c>
      <c r="D158" s="284">
        <v>0.62</v>
      </c>
      <c r="E158" s="284" t="s">
        <v>546</v>
      </c>
      <c r="F158" s="284" t="s">
        <v>546</v>
      </c>
      <c r="G158" s="284" t="s">
        <v>546</v>
      </c>
      <c r="H158" s="284" t="s">
        <v>546</v>
      </c>
      <c r="I158" s="302">
        <v>58.8</v>
      </c>
      <c r="J158" s="302"/>
      <c r="K158" s="303">
        <v>72</v>
      </c>
      <c r="L158" s="284">
        <v>0</v>
      </c>
      <c r="M158" s="304" t="s">
        <v>431</v>
      </c>
      <c r="O158" s="300" t="s">
        <v>812</v>
      </c>
    </row>
    <row r="159" spans="1:15" x14ac:dyDescent="0.25">
      <c r="A159" s="299" t="s">
        <v>156</v>
      </c>
      <c r="B159" s="300" t="s">
        <v>454</v>
      </c>
      <c r="C159" s="301" t="s">
        <v>448</v>
      </c>
      <c r="D159" s="284">
        <v>0.63</v>
      </c>
      <c r="E159" s="284" t="s">
        <v>546</v>
      </c>
      <c r="F159" s="284">
        <v>0.64</v>
      </c>
      <c r="G159" s="284" t="s">
        <v>546</v>
      </c>
      <c r="H159" s="284" t="s">
        <v>546</v>
      </c>
      <c r="I159" s="302"/>
      <c r="J159" s="302"/>
      <c r="K159" s="303">
        <v>87</v>
      </c>
      <c r="L159" s="284">
        <v>0</v>
      </c>
      <c r="M159" s="304" t="s">
        <v>431</v>
      </c>
      <c r="O159" s="300" t="s">
        <v>813</v>
      </c>
    </row>
    <row r="160" spans="1:15" x14ac:dyDescent="0.25">
      <c r="A160" s="299" t="s">
        <v>157</v>
      </c>
      <c r="C160" s="301"/>
      <c r="D160" s="284" t="s">
        <v>546</v>
      </c>
      <c r="E160" s="284" t="s">
        <v>546</v>
      </c>
      <c r="F160" s="284" t="s">
        <v>546</v>
      </c>
      <c r="G160" s="284" t="s">
        <v>546</v>
      </c>
      <c r="H160" s="284" t="s">
        <v>546</v>
      </c>
      <c r="I160" s="302"/>
      <c r="J160" s="302"/>
      <c r="K160" s="303">
        <v>0</v>
      </c>
      <c r="L160" s="284">
        <v>0</v>
      </c>
      <c r="M160" s="304" t="s">
        <v>431</v>
      </c>
      <c r="O160" s="300" t="s">
        <v>814</v>
      </c>
    </row>
    <row r="161" spans="1:15" x14ac:dyDescent="0.25">
      <c r="A161" s="299" t="s">
        <v>158</v>
      </c>
      <c r="C161" s="301"/>
      <c r="D161" s="284" t="s">
        <v>546</v>
      </c>
      <c r="E161" s="284" t="s">
        <v>546</v>
      </c>
      <c r="F161" s="284" t="s">
        <v>546</v>
      </c>
      <c r="G161" s="284" t="s">
        <v>546</v>
      </c>
      <c r="H161" s="284" t="s">
        <v>546</v>
      </c>
      <c r="I161" s="302"/>
      <c r="J161" s="302"/>
      <c r="K161" s="303">
        <v>0</v>
      </c>
      <c r="L161" s="284">
        <v>0</v>
      </c>
      <c r="M161" s="304" t="s">
        <v>431</v>
      </c>
      <c r="O161" s="300" t="s">
        <v>815</v>
      </c>
    </row>
    <row r="162" spans="1:15" x14ac:dyDescent="0.25">
      <c r="A162" s="299" t="s">
        <v>159</v>
      </c>
      <c r="B162" s="300" t="s">
        <v>420</v>
      </c>
      <c r="C162" s="301" t="s">
        <v>448</v>
      </c>
      <c r="D162" s="284">
        <v>0</v>
      </c>
      <c r="E162" s="284">
        <v>0</v>
      </c>
      <c r="F162" s="284">
        <v>0</v>
      </c>
      <c r="G162" s="284">
        <v>0</v>
      </c>
      <c r="H162" s="284">
        <v>0</v>
      </c>
      <c r="I162" s="302"/>
      <c r="J162" s="302"/>
      <c r="K162" s="303">
        <v>100</v>
      </c>
      <c r="L162" s="284">
        <v>0</v>
      </c>
      <c r="M162" s="304" t="s">
        <v>431</v>
      </c>
      <c r="O162" s="300" t="s">
        <v>816</v>
      </c>
    </row>
    <row r="163" spans="1:15" x14ac:dyDescent="0.25">
      <c r="A163" s="299" t="s">
        <v>160</v>
      </c>
      <c r="B163" s="300" t="s">
        <v>456</v>
      </c>
      <c r="C163" s="301" t="s">
        <v>448</v>
      </c>
      <c r="D163" s="284">
        <v>0.27</v>
      </c>
      <c r="E163" s="284" t="s">
        <v>546</v>
      </c>
      <c r="F163" s="284" t="s">
        <v>546</v>
      </c>
      <c r="G163" s="284" t="s">
        <v>546</v>
      </c>
      <c r="H163" s="284">
        <v>0.26</v>
      </c>
      <c r="I163" s="302">
        <v>49.6</v>
      </c>
      <c r="J163" s="302"/>
      <c r="K163" s="303">
        <v>94</v>
      </c>
      <c r="L163" s="284">
        <v>0</v>
      </c>
      <c r="M163" s="304" t="s">
        <v>431</v>
      </c>
      <c r="O163" s="300" t="s">
        <v>546</v>
      </c>
    </row>
    <row r="164" spans="1:15" x14ac:dyDescent="0.25">
      <c r="A164" s="299" t="s">
        <v>161</v>
      </c>
      <c r="B164" s="300" t="s">
        <v>461</v>
      </c>
      <c r="C164" s="301" t="s">
        <v>448</v>
      </c>
      <c r="D164" s="284" t="s">
        <v>546</v>
      </c>
      <c r="E164" s="284" t="s">
        <v>546</v>
      </c>
      <c r="F164" s="284" t="s">
        <v>546</v>
      </c>
      <c r="G164" s="284" t="s">
        <v>546</v>
      </c>
      <c r="H164" s="284" t="s">
        <v>546</v>
      </c>
      <c r="I164" s="302"/>
      <c r="J164" s="302"/>
      <c r="K164" s="303">
        <v>75</v>
      </c>
      <c r="L164" s="284">
        <v>0</v>
      </c>
      <c r="M164" s="304" t="s">
        <v>431</v>
      </c>
      <c r="O164" s="300" t="s">
        <v>817</v>
      </c>
    </row>
    <row r="165" spans="1:15" x14ac:dyDescent="0.25">
      <c r="A165" s="299" t="s">
        <v>162</v>
      </c>
      <c r="B165" s="300" t="s">
        <v>450</v>
      </c>
      <c r="C165" s="301" t="s">
        <v>448</v>
      </c>
      <c r="D165" s="284" t="s">
        <v>546</v>
      </c>
      <c r="E165" s="284" t="s">
        <v>546</v>
      </c>
      <c r="F165" s="284" t="s">
        <v>546</v>
      </c>
      <c r="G165" s="284" t="s">
        <v>546</v>
      </c>
      <c r="H165" s="284" t="s">
        <v>546</v>
      </c>
      <c r="I165" s="302"/>
      <c r="J165" s="302"/>
      <c r="K165" s="303">
        <v>75</v>
      </c>
      <c r="L165" s="284">
        <v>0</v>
      </c>
      <c r="M165" s="304" t="s">
        <v>431</v>
      </c>
      <c r="O165" s="300" t="s">
        <v>818</v>
      </c>
    </row>
    <row r="166" spans="1:15" x14ac:dyDescent="0.25">
      <c r="A166" s="299" t="s">
        <v>163</v>
      </c>
      <c r="B166" s="300" t="s">
        <v>454</v>
      </c>
      <c r="C166" s="301" t="s">
        <v>448</v>
      </c>
      <c r="D166" s="284">
        <v>0.56999999999999995</v>
      </c>
      <c r="E166" s="284" t="s">
        <v>546</v>
      </c>
      <c r="F166" s="284" t="s">
        <v>546</v>
      </c>
      <c r="G166" s="284" t="s">
        <v>546</v>
      </c>
      <c r="H166" s="284" t="s">
        <v>546</v>
      </c>
      <c r="I166" s="302">
        <v>63.2</v>
      </c>
      <c r="J166" s="302"/>
      <c r="K166" s="303">
        <v>79</v>
      </c>
      <c r="L166" s="284">
        <v>0</v>
      </c>
      <c r="M166" s="304" t="s">
        <v>431</v>
      </c>
      <c r="O166" s="300" t="s">
        <v>819</v>
      </c>
    </row>
    <row r="167" spans="1:15" x14ac:dyDescent="0.25">
      <c r="A167" s="299" t="s">
        <v>164</v>
      </c>
      <c r="B167" s="300" t="s">
        <v>419</v>
      </c>
      <c r="C167" s="301" t="s">
        <v>448</v>
      </c>
      <c r="D167" s="284">
        <v>0.44</v>
      </c>
      <c r="E167" s="284" t="s">
        <v>546</v>
      </c>
      <c r="F167" s="284" t="s">
        <v>546</v>
      </c>
      <c r="G167" s="284" t="s">
        <v>546</v>
      </c>
      <c r="H167" s="284" t="s">
        <v>546</v>
      </c>
      <c r="I167" s="302"/>
      <c r="J167" s="302"/>
      <c r="K167" s="303">
        <v>75</v>
      </c>
      <c r="L167" s="284">
        <v>0</v>
      </c>
      <c r="M167" s="304" t="s">
        <v>431</v>
      </c>
      <c r="O167" s="300" t="s">
        <v>820</v>
      </c>
    </row>
    <row r="168" spans="1:15" x14ac:dyDescent="0.25">
      <c r="A168" s="299" t="s">
        <v>165</v>
      </c>
      <c r="B168" s="300" t="s">
        <v>419</v>
      </c>
      <c r="C168" s="301" t="s">
        <v>448</v>
      </c>
      <c r="D168" s="284" t="s">
        <v>546</v>
      </c>
      <c r="E168" s="284" t="s">
        <v>546</v>
      </c>
      <c r="F168" s="284" t="s">
        <v>546</v>
      </c>
      <c r="G168" s="284" t="s">
        <v>546</v>
      </c>
      <c r="H168" s="284" t="s">
        <v>546</v>
      </c>
      <c r="I168" s="302"/>
      <c r="J168" s="302"/>
      <c r="K168" s="303">
        <v>75</v>
      </c>
      <c r="L168" s="284">
        <v>0</v>
      </c>
      <c r="M168" s="304" t="s">
        <v>431</v>
      </c>
      <c r="O168" s="300" t="s">
        <v>821</v>
      </c>
    </row>
    <row r="169" spans="1:15" x14ac:dyDescent="0.25">
      <c r="A169" s="299" t="s">
        <v>549</v>
      </c>
      <c r="B169" s="300" t="s">
        <v>450</v>
      </c>
      <c r="C169" s="301" t="s">
        <v>448</v>
      </c>
      <c r="D169" s="284" t="s">
        <v>546</v>
      </c>
      <c r="E169" s="284" t="s">
        <v>546</v>
      </c>
      <c r="F169" s="284" t="s">
        <v>546</v>
      </c>
      <c r="G169" s="284" t="s">
        <v>546</v>
      </c>
      <c r="H169" s="284" t="s">
        <v>546</v>
      </c>
      <c r="I169" s="302"/>
      <c r="J169" s="302"/>
      <c r="K169" s="303">
        <v>0</v>
      </c>
      <c r="L169" s="284">
        <v>0</v>
      </c>
      <c r="M169" s="304" t="s">
        <v>431</v>
      </c>
      <c r="O169" s="300" t="s">
        <v>822</v>
      </c>
    </row>
    <row r="170" spans="1:15" x14ac:dyDescent="0.25">
      <c r="A170" s="299" t="s">
        <v>166</v>
      </c>
      <c r="B170" s="300" t="s">
        <v>459</v>
      </c>
      <c r="C170" s="301" t="s">
        <v>448</v>
      </c>
      <c r="D170" s="284">
        <v>0.35</v>
      </c>
      <c r="E170" s="284" t="s">
        <v>546</v>
      </c>
      <c r="F170" s="284" t="s">
        <v>546</v>
      </c>
      <c r="G170" s="284" t="s">
        <v>546</v>
      </c>
      <c r="H170" s="284" t="s">
        <v>546</v>
      </c>
      <c r="I170" s="302"/>
      <c r="J170" s="302"/>
      <c r="K170" s="303">
        <v>106</v>
      </c>
      <c r="L170" s="284">
        <v>0</v>
      </c>
      <c r="M170" s="304" t="s">
        <v>431</v>
      </c>
      <c r="O170" s="300" t="s">
        <v>823</v>
      </c>
    </row>
    <row r="171" spans="1:15" x14ac:dyDescent="0.25">
      <c r="A171" s="299" t="s">
        <v>167</v>
      </c>
      <c r="B171" s="300" t="s">
        <v>461</v>
      </c>
      <c r="C171" s="301" t="s">
        <v>448</v>
      </c>
      <c r="D171" s="284">
        <v>0.51</v>
      </c>
      <c r="E171" s="284" t="s">
        <v>546</v>
      </c>
      <c r="F171" s="284" t="s">
        <v>546</v>
      </c>
      <c r="G171" s="284" t="s">
        <v>546</v>
      </c>
      <c r="H171" s="284" t="s">
        <v>546</v>
      </c>
      <c r="I171" s="302"/>
      <c r="J171" s="302"/>
      <c r="K171" s="303">
        <v>96</v>
      </c>
      <c r="L171" s="284">
        <v>0</v>
      </c>
      <c r="M171" s="304" t="s">
        <v>431</v>
      </c>
      <c r="O171" s="300" t="s">
        <v>824</v>
      </c>
    </row>
    <row r="172" spans="1:15" x14ac:dyDescent="0.25">
      <c r="A172" s="299" t="s">
        <v>168</v>
      </c>
      <c r="B172" s="300" t="s">
        <v>460</v>
      </c>
      <c r="C172" s="301" t="s">
        <v>448</v>
      </c>
      <c r="D172" s="284" t="s">
        <v>546</v>
      </c>
      <c r="E172" s="284" t="s">
        <v>546</v>
      </c>
      <c r="F172" s="284" t="s">
        <v>546</v>
      </c>
      <c r="G172" s="284" t="s">
        <v>546</v>
      </c>
      <c r="H172" s="284" t="s">
        <v>546</v>
      </c>
      <c r="I172" s="302"/>
      <c r="J172" s="302"/>
      <c r="K172" s="303">
        <v>62</v>
      </c>
      <c r="L172" s="284">
        <v>0</v>
      </c>
      <c r="M172" s="304" t="s">
        <v>431</v>
      </c>
      <c r="O172" s="300" t="s">
        <v>825</v>
      </c>
    </row>
    <row r="173" spans="1:15" x14ac:dyDescent="0.25">
      <c r="A173" s="299" t="s">
        <v>169</v>
      </c>
      <c r="B173" s="300" t="s">
        <v>420</v>
      </c>
      <c r="C173" s="301" t="s">
        <v>448</v>
      </c>
      <c r="D173" s="284">
        <v>0</v>
      </c>
      <c r="E173" s="284">
        <v>0</v>
      </c>
      <c r="F173" s="284">
        <v>0</v>
      </c>
      <c r="G173" s="284">
        <v>0</v>
      </c>
      <c r="H173" s="284">
        <v>0</v>
      </c>
      <c r="I173" s="302"/>
      <c r="J173" s="302"/>
      <c r="K173" s="303">
        <v>90</v>
      </c>
      <c r="L173" s="284">
        <v>0</v>
      </c>
      <c r="M173" s="304" t="s">
        <v>431</v>
      </c>
      <c r="O173" s="300" t="s">
        <v>826</v>
      </c>
    </row>
    <row r="174" spans="1:15" x14ac:dyDescent="0.25">
      <c r="A174" s="299" t="s">
        <v>170</v>
      </c>
      <c r="B174" s="300" t="s">
        <v>460</v>
      </c>
      <c r="C174" s="301" t="s">
        <v>448</v>
      </c>
      <c r="D174" s="284">
        <v>0.44</v>
      </c>
      <c r="E174" s="284" t="s">
        <v>546</v>
      </c>
      <c r="F174" s="284" t="s">
        <v>546</v>
      </c>
      <c r="G174" s="284">
        <v>0.42</v>
      </c>
      <c r="H174" s="284" t="s">
        <v>546</v>
      </c>
      <c r="I174" s="302"/>
      <c r="J174" s="302"/>
      <c r="K174" s="303">
        <v>81</v>
      </c>
      <c r="L174" s="284">
        <v>0</v>
      </c>
      <c r="M174" s="304" t="s">
        <v>431</v>
      </c>
      <c r="O174" s="300" t="s">
        <v>827</v>
      </c>
    </row>
    <row r="175" spans="1:15" x14ac:dyDescent="0.25">
      <c r="A175" s="299" t="s">
        <v>171</v>
      </c>
      <c r="B175" s="300" t="s">
        <v>419</v>
      </c>
      <c r="C175" s="301" t="s">
        <v>448</v>
      </c>
      <c r="D175" s="284">
        <v>0.51</v>
      </c>
      <c r="E175" s="284" t="s">
        <v>546</v>
      </c>
      <c r="F175" s="284" t="s">
        <v>546</v>
      </c>
      <c r="G175" s="284" t="s">
        <v>546</v>
      </c>
      <c r="H175" s="284" t="s">
        <v>546</v>
      </c>
      <c r="I175" s="302">
        <v>40.700000000000003</v>
      </c>
      <c r="J175" s="302"/>
      <c r="K175" s="303">
        <v>72</v>
      </c>
      <c r="L175" s="284">
        <v>0</v>
      </c>
      <c r="M175" s="304" t="s">
        <v>431</v>
      </c>
      <c r="O175" s="300" t="s">
        <v>828</v>
      </c>
    </row>
    <row r="176" spans="1:15" x14ac:dyDescent="0.25">
      <c r="A176" s="299" t="s">
        <v>172</v>
      </c>
      <c r="C176" s="301"/>
      <c r="D176" s="284" t="s">
        <v>546</v>
      </c>
      <c r="E176" s="284" t="s">
        <v>546</v>
      </c>
      <c r="F176" s="284" t="s">
        <v>546</v>
      </c>
      <c r="G176" s="284" t="s">
        <v>546</v>
      </c>
      <c r="H176" s="284" t="s">
        <v>546</v>
      </c>
      <c r="I176" s="302"/>
      <c r="J176" s="302"/>
      <c r="K176" s="303">
        <v>0</v>
      </c>
      <c r="L176" s="284">
        <v>0</v>
      </c>
      <c r="M176" s="304" t="s">
        <v>431</v>
      </c>
      <c r="O176" s="300" t="s">
        <v>829</v>
      </c>
    </row>
    <row r="177" spans="1:15" x14ac:dyDescent="0.25">
      <c r="A177" s="299" t="s">
        <v>173</v>
      </c>
      <c r="B177" s="300" t="s">
        <v>420</v>
      </c>
      <c r="C177" s="301" t="s">
        <v>448</v>
      </c>
      <c r="D177" s="284">
        <v>0</v>
      </c>
      <c r="E177" s="284">
        <v>0</v>
      </c>
      <c r="F177" s="284">
        <v>0</v>
      </c>
      <c r="G177" s="284">
        <v>0</v>
      </c>
      <c r="H177" s="284">
        <v>0</v>
      </c>
      <c r="I177" s="302"/>
      <c r="J177" s="302"/>
      <c r="K177" s="303">
        <v>100</v>
      </c>
      <c r="L177" s="284">
        <v>0</v>
      </c>
      <c r="M177" s="304" t="s">
        <v>431</v>
      </c>
      <c r="O177" s="300" t="s">
        <v>830</v>
      </c>
    </row>
    <row r="178" spans="1:15" x14ac:dyDescent="0.25">
      <c r="A178" s="299" t="s">
        <v>174</v>
      </c>
      <c r="B178" s="300" t="s">
        <v>456</v>
      </c>
      <c r="C178" s="301" t="s">
        <v>448</v>
      </c>
      <c r="D178" s="284">
        <v>0.22</v>
      </c>
      <c r="E178" s="284" t="s">
        <v>546</v>
      </c>
      <c r="F178" s="284" t="s">
        <v>546</v>
      </c>
      <c r="G178" s="284" t="s">
        <v>546</v>
      </c>
      <c r="H178" s="284">
        <v>0.22</v>
      </c>
      <c r="I178" s="302"/>
      <c r="J178" s="302"/>
      <c r="K178" s="303">
        <v>75</v>
      </c>
      <c r="L178" s="284">
        <v>0</v>
      </c>
      <c r="M178" s="304" t="s">
        <v>431</v>
      </c>
      <c r="O178" s="300" t="s">
        <v>831</v>
      </c>
    </row>
    <row r="179" spans="1:15" x14ac:dyDescent="0.25">
      <c r="A179" s="299" t="s">
        <v>175</v>
      </c>
      <c r="B179" s="300" t="s">
        <v>459</v>
      </c>
      <c r="C179" s="301" t="s">
        <v>448</v>
      </c>
      <c r="D179" s="284" t="s">
        <v>546</v>
      </c>
      <c r="E179" s="284" t="s">
        <v>546</v>
      </c>
      <c r="F179" s="284" t="s">
        <v>546</v>
      </c>
      <c r="G179" s="284" t="s">
        <v>546</v>
      </c>
      <c r="H179" s="284" t="s">
        <v>546</v>
      </c>
      <c r="I179" s="302"/>
      <c r="J179" s="302"/>
      <c r="K179" s="303">
        <v>75</v>
      </c>
      <c r="L179" s="284">
        <v>0</v>
      </c>
      <c r="M179" s="304" t="s">
        <v>431</v>
      </c>
      <c r="O179" s="300" t="s">
        <v>832</v>
      </c>
    </row>
    <row r="180" spans="1:15" x14ac:dyDescent="0.25">
      <c r="A180" s="299" t="s">
        <v>176</v>
      </c>
      <c r="B180" s="300" t="s">
        <v>420</v>
      </c>
      <c r="C180" s="301" t="s">
        <v>448</v>
      </c>
      <c r="D180" s="284">
        <v>0</v>
      </c>
      <c r="E180" s="284">
        <v>0</v>
      </c>
      <c r="F180" s="284">
        <v>0</v>
      </c>
      <c r="G180" s="284">
        <v>0</v>
      </c>
      <c r="H180" s="284">
        <v>0</v>
      </c>
      <c r="I180" s="302">
        <v>52.3</v>
      </c>
      <c r="J180" s="302"/>
      <c r="K180" s="303">
        <v>104</v>
      </c>
      <c r="L180" s="284">
        <v>0</v>
      </c>
      <c r="M180" s="304" t="s">
        <v>431</v>
      </c>
      <c r="O180" s="300" t="s">
        <v>833</v>
      </c>
    </row>
    <row r="181" spans="1:15" x14ac:dyDescent="0.25">
      <c r="A181" s="299" t="s">
        <v>177</v>
      </c>
      <c r="B181" s="300" t="s">
        <v>450</v>
      </c>
      <c r="C181" s="301" t="s">
        <v>448</v>
      </c>
      <c r="D181" s="284" t="s">
        <v>546</v>
      </c>
      <c r="E181" s="284" t="s">
        <v>546</v>
      </c>
      <c r="F181" s="284" t="s">
        <v>546</v>
      </c>
      <c r="G181" s="284" t="s">
        <v>546</v>
      </c>
      <c r="H181" s="284" t="s">
        <v>546</v>
      </c>
      <c r="I181" s="302"/>
      <c r="J181" s="302"/>
      <c r="K181" s="303">
        <v>75</v>
      </c>
      <c r="L181" s="284">
        <v>0</v>
      </c>
      <c r="M181" s="304" t="s">
        <v>431</v>
      </c>
      <c r="O181" s="300" t="s">
        <v>834</v>
      </c>
    </row>
    <row r="182" spans="1:15" x14ac:dyDescent="0.25">
      <c r="A182" s="299" t="s">
        <v>423</v>
      </c>
      <c r="B182" s="300" t="s">
        <v>453</v>
      </c>
      <c r="C182" s="301" t="s">
        <v>448</v>
      </c>
      <c r="D182" s="284">
        <v>0.65</v>
      </c>
      <c r="E182" s="284" t="s">
        <v>546</v>
      </c>
      <c r="F182" s="284" t="s">
        <v>546</v>
      </c>
      <c r="G182" s="284" t="s">
        <v>546</v>
      </c>
      <c r="H182" s="284" t="s">
        <v>546</v>
      </c>
      <c r="I182" s="302"/>
      <c r="J182" s="302"/>
      <c r="K182" s="303">
        <v>94</v>
      </c>
      <c r="L182" s="284">
        <v>0</v>
      </c>
      <c r="M182" s="304" t="s">
        <v>431</v>
      </c>
      <c r="O182" s="300" t="s">
        <v>835</v>
      </c>
    </row>
    <row r="183" spans="1:15" x14ac:dyDescent="0.25">
      <c r="A183" s="299" t="s">
        <v>178</v>
      </c>
      <c r="B183" s="300" t="s">
        <v>453</v>
      </c>
      <c r="C183" s="301" t="s">
        <v>448</v>
      </c>
      <c r="D183" s="284">
        <v>0.66</v>
      </c>
      <c r="E183" s="284" t="s">
        <v>546</v>
      </c>
      <c r="F183" s="284" t="s">
        <v>546</v>
      </c>
      <c r="G183" s="284" t="s">
        <v>546</v>
      </c>
      <c r="H183" s="284" t="s">
        <v>546</v>
      </c>
      <c r="I183" s="302"/>
      <c r="J183" s="302"/>
      <c r="K183" s="303">
        <v>75</v>
      </c>
      <c r="L183" s="284">
        <v>0</v>
      </c>
      <c r="M183" s="304" t="s">
        <v>431</v>
      </c>
      <c r="O183" s="300" t="s">
        <v>704</v>
      </c>
    </row>
    <row r="184" spans="1:15" x14ac:dyDescent="0.25">
      <c r="A184" s="299" t="s">
        <v>180</v>
      </c>
      <c r="B184" s="300" t="s">
        <v>420</v>
      </c>
      <c r="C184" s="301" t="s">
        <v>448</v>
      </c>
      <c r="D184" s="284">
        <v>0</v>
      </c>
      <c r="E184" s="284">
        <v>0</v>
      </c>
      <c r="F184" s="284">
        <v>0</v>
      </c>
      <c r="G184" s="284">
        <v>0</v>
      </c>
      <c r="H184" s="284">
        <v>0</v>
      </c>
      <c r="I184" s="302"/>
      <c r="J184" s="302"/>
      <c r="K184" s="303">
        <v>100</v>
      </c>
      <c r="L184" s="284">
        <v>0</v>
      </c>
      <c r="M184" s="304" t="s">
        <v>431</v>
      </c>
      <c r="O184" s="300" t="s">
        <v>836</v>
      </c>
    </row>
    <row r="185" spans="1:15" x14ac:dyDescent="0.25">
      <c r="A185" s="299" t="s">
        <v>181</v>
      </c>
      <c r="B185" s="300" t="s">
        <v>420</v>
      </c>
      <c r="C185" s="301" t="s">
        <v>448</v>
      </c>
      <c r="D185" s="284">
        <v>0</v>
      </c>
      <c r="E185" s="284">
        <v>0</v>
      </c>
      <c r="F185" s="284">
        <v>0</v>
      </c>
      <c r="G185" s="284">
        <v>0</v>
      </c>
      <c r="H185" s="284">
        <v>0</v>
      </c>
      <c r="I185" s="302"/>
      <c r="J185" s="302"/>
      <c r="K185" s="303">
        <v>90</v>
      </c>
      <c r="L185" s="284">
        <v>0</v>
      </c>
      <c r="M185" s="304" t="s">
        <v>431</v>
      </c>
      <c r="O185" s="300" t="s">
        <v>837</v>
      </c>
    </row>
    <row r="186" spans="1:15" x14ac:dyDescent="0.25">
      <c r="A186" s="299" t="s">
        <v>182</v>
      </c>
      <c r="B186" s="300" t="s">
        <v>420</v>
      </c>
      <c r="C186" s="301" t="s">
        <v>448</v>
      </c>
      <c r="D186" s="284">
        <v>0</v>
      </c>
      <c r="E186" s="284">
        <v>0</v>
      </c>
      <c r="F186" s="284">
        <v>0</v>
      </c>
      <c r="G186" s="284">
        <v>0</v>
      </c>
      <c r="H186" s="284">
        <v>0</v>
      </c>
      <c r="I186" s="302"/>
      <c r="J186" s="302"/>
      <c r="K186" s="303">
        <v>100</v>
      </c>
      <c r="L186" s="284">
        <v>0</v>
      </c>
      <c r="M186" s="304" t="s">
        <v>431</v>
      </c>
      <c r="O186" s="300" t="s">
        <v>838</v>
      </c>
    </row>
    <row r="187" spans="1:15" x14ac:dyDescent="0.25">
      <c r="A187" s="299" t="s">
        <v>183</v>
      </c>
      <c r="B187" s="300" t="s">
        <v>453</v>
      </c>
      <c r="C187" s="301" t="s">
        <v>448</v>
      </c>
      <c r="D187" s="284">
        <v>0.51</v>
      </c>
      <c r="E187" s="284" t="s">
        <v>546</v>
      </c>
      <c r="F187" s="284" t="s">
        <v>546</v>
      </c>
      <c r="G187" s="284" t="s">
        <v>546</v>
      </c>
      <c r="H187" s="284" t="s">
        <v>546</v>
      </c>
      <c r="I187" s="302"/>
      <c r="J187" s="302"/>
      <c r="K187" s="303">
        <v>81</v>
      </c>
      <c r="L187" s="284">
        <v>0</v>
      </c>
      <c r="M187" s="304" t="s">
        <v>431</v>
      </c>
      <c r="O187" s="300" t="s">
        <v>839</v>
      </c>
    </row>
    <row r="188" spans="1:15" x14ac:dyDescent="0.25">
      <c r="A188" s="299" t="s">
        <v>184</v>
      </c>
      <c r="C188" s="301"/>
      <c r="D188" s="284" t="s">
        <v>546</v>
      </c>
      <c r="E188" s="284" t="s">
        <v>546</v>
      </c>
      <c r="F188" s="284" t="s">
        <v>546</v>
      </c>
      <c r="G188" s="284" t="s">
        <v>546</v>
      </c>
      <c r="H188" s="284" t="s">
        <v>546</v>
      </c>
      <c r="I188" s="302"/>
      <c r="J188" s="302"/>
      <c r="K188" s="303">
        <v>0</v>
      </c>
      <c r="L188" s="284">
        <v>0</v>
      </c>
      <c r="M188" s="304" t="s">
        <v>431</v>
      </c>
      <c r="O188" s="300" t="s">
        <v>840</v>
      </c>
    </row>
    <row r="189" spans="1:15" x14ac:dyDescent="0.25">
      <c r="A189" s="299" t="s">
        <v>185</v>
      </c>
      <c r="B189" s="300" t="s">
        <v>459</v>
      </c>
      <c r="C189" s="301" t="s">
        <v>448</v>
      </c>
      <c r="D189" s="284" t="s">
        <v>546</v>
      </c>
      <c r="E189" s="284" t="s">
        <v>546</v>
      </c>
      <c r="F189" s="284" t="s">
        <v>546</v>
      </c>
      <c r="G189" s="284" t="s">
        <v>546</v>
      </c>
      <c r="H189" s="284" t="s">
        <v>546</v>
      </c>
      <c r="I189" s="302"/>
      <c r="J189" s="302"/>
      <c r="K189" s="303">
        <v>75</v>
      </c>
      <c r="L189" s="284">
        <v>0</v>
      </c>
      <c r="M189" s="304" t="s">
        <v>431</v>
      </c>
      <c r="O189" s="300" t="s">
        <v>844</v>
      </c>
    </row>
    <row r="190" spans="1:15" x14ac:dyDescent="0.25">
      <c r="A190" s="299" t="s">
        <v>424</v>
      </c>
      <c r="C190" s="301"/>
      <c r="D190" s="284" t="s">
        <v>546</v>
      </c>
      <c r="E190" s="284" t="s">
        <v>546</v>
      </c>
      <c r="F190" s="284" t="s">
        <v>546</v>
      </c>
      <c r="G190" s="284" t="s">
        <v>546</v>
      </c>
      <c r="H190" s="284" t="s">
        <v>546</v>
      </c>
      <c r="I190" s="302"/>
      <c r="J190" s="302"/>
      <c r="K190" s="303">
        <v>0</v>
      </c>
      <c r="L190" s="284">
        <v>0</v>
      </c>
      <c r="M190" s="304" t="s">
        <v>431</v>
      </c>
      <c r="O190" s="300" t="s">
        <v>841</v>
      </c>
    </row>
    <row r="191" spans="1:15" x14ac:dyDescent="0.25">
      <c r="A191" s="299" t="s">
        <v>186</v>
      </c>
      <c r="C191" s="301"/>
      <c r="D191" s="284" t="s">
        <v>546</v>
      </c>
      <c r="E191" s="284" t="s">
        <v>546</v>
      </c>
      <c r="F191" s="284" t="s">
        <v>546</v>
      </c>
      <c r="G191" s="284" t="s">
        <v>546</v>
      </c>
      <c r="H191" s="284" t="s">
        <v>546</v>
      </c>
      <c r="I191" s="302"/>
      <c r="J191" s="302"/>
      <c r="K191" s="303">
        <v>0</v>
      </c>
      <c r="L191" s="284">
        <v>0</v>
      </c>
      <c r="M191" s="304" t="s">
        <v>431</v>
      </c>
      <c r="O191" s="300" t="s">
        <v>842</v>
      </c>
    </row>
    <row r="192" spans="1:15" x14ac:dyDescent="0.25">
      <c r="A192" s="299" t="s">
        <v>187</v>
      </c>
      <c r="B192" s="300" t="s">
        <v>459</v>
      </c>
      <c r="C192" s="301" t="s">
        <v>448</v>
      </c>
      <c r="D192" s="284">
        <v>0.42</v>
      </c>
      <c r="E192" s="284">
        <v>0.36</v>
      </c>
      <c r="F192" s="284">
        <v>0.36</v>
      </c>
      <c r="G192" s="284" t="s">
        <v>546</v>
      </c>
      <c r="H192" s="284" t="s">
        <v>546</v>
      </c>
      <c r="I192" s="302"/>
      <c r="J192" s="302"/>
      <c r="K192" s="303">
        <v>75</v>
      </c>
      <c r="L192" s="284">
        <v>0</v>
      </c>
      <c r="M192" s="304" t="s">
        <v>431</v>
      </c>
      <c r="O192" s="300" t="s">
        <v>843</v>
      </c>
    </row>
    <row r="193" spans="1:15" x14ac:dyDescent="0.25">
      <c r="A193" s="299" t="s">
        <v>188</v>
      </c>
      <c r="B193" s="300" t="s">
        <v>420</v>
      </c>
      <c r="C193" s="301"/>
      <c r="D193" s="284">
        <v>0</v>
      </c>
      <c r="E193" s="284">
        <v>0</v>
      </c>
      <c r="F193" s="284">
        <v>0</v>
      </c>
      <c r="G193" s="284">
        <v>0</v>
      </c>
      <c r="H193" s="284">
        <v>0</v>
      </c>
      <c r="I193" s="302"/>
      <c r="J193" s="302"/>
      <c r="K193" s="303">
        <v>0</v>
      </c>
      <c r="L193" s="284">
        <v>0</v>
      </c>
      <c r="M193" s="304" t="s">
        <v>431</v>
      </c>
      <c r="O193" s="300" t="s">
        <v>845</v>
      </c>
    </row>
    <row r="194" spans="1:15" x14ac:dyDescent="0.25">
      <c r="A194" s="299" t="s">
        <v>1774</v>
      </c>
      <c r="B194" s="300" t="s">
        <v>459</v>
      </c>
      <c r="C194" s="301"/>
      <c r="D194" s="284">
        <v>0.33</v>
      </c>
      <c r="E194" s="284" t="s">
        <v>546</v>
      </c>
      <c r="F194" s="284">
        <v>0.28000000000000003</v>
      </c>
      <c r="G194" s="284" t="s">
        <v>546</v>
      </c>
      <c r="H194" s="284" t="s">
        <v>546</v>
      </c>
      <c r="I194" s="302"/>
      <c r="J194" s="302"/>
      <c r="K194" s="303">
        <v>0</v>
      </c>
      <c r="L194" s="284">
        <v>0</v>
      </c>
      <c r="M194" s="304" t="s">
        <v>431</v>
      </c>
      <c r="O194" s="300" t="s">
        <v>846</v>
      </c>
    </row>
    <row r="195" spans="1:15" x14ac:dyDescent="0.25">
      <c r="A195" s="299" t="s">
        <v>189</v>
      </c>
      <c r="B195" s="300" t="s">
        <v>461</v>
      </c>
      <c r="C195" s="301" t="s">
        <v>448</v>
      </c>
      <c r="D195" s="284" t="s">
        <v>546</v>
      </c>
      <c r="E195" s="284" t="s">
        <v>546</v>
      </c>
      <c r="F195" s="284" t="s">
        <v>546</v>
      </c>
      <c r="G195" s="284" t="s">
        <v>546</v>
      </c>
      <c r="H195" s="284" t="s">
        <v>546</v>
      </c>
      <c r="I195" s="302"/>
      <c r="J195" s="302"/>
      <c r="K195" s="303">
        <v>75</v>
      </c>
      <c r="L195" s="284">
        <v>0</v>
      </c>
      <c r="M195" s="304" t="s">
        <v>431</v>
      </c>
      <c r="O195" s="300" t="s">
        <v>848</v>
      </c>
    </row>
    <row r="196" spans="1:15" x14ac:dyDescent="0.25">
      <c r="A196" s="299" t="s">
        <v>190</v>
      </c>
      <c r="B196" s="300" t="s">
        <v>459</v>
      </c>
      <c r="C196" s="301" t="s">
        <v>448</v>
      </c>
      <c r="D196" s="284" t="s">
        <v>546</v>
      </c>
      <c r="E196" s="284" t="s">
        <v>546</v>
      </c>
      <c r="F196" s="284" t="s">
        <v>546</v>
      </c>
      <c r="G196" s="284" t="s">
        <v>546</v>
      </c>
      <c r="H196" s="284" t="s">
        <v>546</v>
      </c>
      <c r="I196" s="302"/>
      <c r="J196" s="302"/>
      <c r="K196" s="303">
        <v>87</v>
      </c>
      <c r="L196" s="284">
        <v>0</v>
      </c>
      <c r="M196" s="304" t="s">
        <v>431</v>
      </c>
      <c r="O196" s="300" t="s">
        <v>725</v>
      </c>
    </row>
    <row r="197" spans="1:15" x14ac:dyDescent="0.25">
      <c r="A197" s="299" t="s">
        <v>494</v>
      </c>
      <c r="B197" s="300" t="s">
        <v>461</v>
      </c>
      <c r="C197" s="301" t="s">
        <v>448</v>
      </c>
      <c r="D197" s="284" t="s">
        <v>546</v>
      </c>
      <c r="E197" s="284" t="s">
        <v>546</v>
      </c>
      <c r="F197" s="284" t="s">
        <v>546</v>
      </c>
      <c r="G197" s="284" t="s">
        <v>546</v>
      </c>
      <c r="H197" s="284" t="s">
        <v>546</v>
      </c>
      <c r="I197" s="302"/>
      <c r="J197" s="302"/>
      <c r="K197" s="303">
        <v>75</v>
      </c>
      <c r="L197" s="284">
        <v>0</v>
      </c>
      <c r="M197" s="304" t="s">
        <v>431</v>
      </c>
      <c r="O197" s="300" t="s">
        <v>849</v>
      </c>
    </row>
    <row r="198" spans="1:15" x14ac:dyDescent="0.25">
      <c r="A198" s="299" t="s">
        <v>191</v>
      </c>
      <c r="C198" s="301"/>
      <c r="D198" s="284" t="s">
        <v>546</v>
      </c>
      <c r="E198" s="284" t="s">
        <v>546</v>
      </c>
      <c r="F198" s="284" t="s">
        <v>546</v>
      </c>
      <c r="G198" s="284" t="s">
        <v>546</v>
      </c>
      <c r="H198" s="284" t="s">
        <v>546</v>
      </c>
      <c r="I198" s="302"/>
      <c r="J198" s="302"/>
      <c r="K198" s="303">
        <v>0</v>
      </c>
      <c r="L198" s="284">
        <v>0</v>
      </c>
      <c r="M198" s="304" t="s">
        <v>431</v>
      </c>
      <c r="O198" s="300" t="s">
        <v>850</v>
      </c>
    </row>
    <row r="199" spans="1:15" x14ac:dyDescent="0.25">
      <c r="A199" s="299" t="s">
        <v>192</v>
      </c>
      <c r="B199" s="300" t="s">
        <v>454</v>
      </c>
      <c r="C199" s="301" t="s">
        <v>448</v>
      </c>
      <c r="D199" s="284" t="s">
        <v>546</v>
      </c>
      <c r="E199" s="284" t="s">
        <v>546</v>
      </c>
      <c r="F199" s="284" t="s">
        <v>546</v>
      </c>
      <c r="G199" s="284" t="s">
        <v>546</v>
      </c>
      <c r="H199" s="284" t="s">
        <v>546</v>
      </c>
      <c r="I199" s="302"/>
      <c r="J199" s="302"/>
      <c r="K199" s="303">
        <v>78</v>
      </c>
      <c r="L199" s="284">
        <v>0</v>
      </c>
      <c r="M199" s="304" t="s">
        <v>431</v>
      </c>
      <c r="O199" s="300" t="s">
        <v>851</v>
      </c>
    </row>
    <row r="200" spans="1:15" x14ac:dyDescent="0.25">
      <c r="A200" s="299" t="s">
        <v>193</v>
      </c>
      <c r="B200" s="300" t="s">
        <v>453</v>
      </c>
      <c r="C200" s="301" t="s">
        <v>448</v>
      </c>
      <c r="D200" s="284">
        <v>0.45</v>
      </c>
      <c r="E200" s="284" t="s">
        <v>546</v>
      </c>
      <c r="F200" s="284">
        <v>0.46</v>
      </c>
      <c r="G200" s="284" t="s">
        <v>546</v>
      </c>
      <c r="H200" s="284" t="s">
        <v>546</v>
      </c>
      <c r="I200" s="302">
        <v>53.3</v>
      </c>
      <c r="J200" s="302"/>
      <c r="K200" s="303">
        <v>76</v>
      </c>
      <c r="L200" s="284">
        <v>0</v>
      </c>
      <c r="M200" s="304" t="s">
        <v>431</v>
      </c>
      <c r="O200" s="300" t="s">
        <v>852</v>
      </c>
    </row>
    <row r="201" spans="1:15" x14ac:dyDescent="0.25">
      <c r="A201" s="299" t="s">
        <v>246</v>
      </c>
      <c r="B201" s="300" t="s">
        <v>420</v>
      </c>
      <c r="C201" s="301"/>
      <c r="D201" s="284">
        <v>0</v>
      </c>
      <c r="E201" s="284">
        <v>0</v>
      </c>
      <c r="F201" s="284">
        <v>0</v>
      </c>
      <c r="G201" s="284">
        <v>0</v>
      </c>
      <c r="H201" s="284">
        <v>0</v>
      </c>
      <c r="I201" s="302"/>
      <c r="J201" s="302"/>
      <c r="K201" s="303">
        <v>0</v>
      </c>
      <c r="L201" s="284">
        <v>0</v>
      </c>
      <c r="M201" s="304" t="s">
        <v>431</v>
      </c>
      <c r="O201" s="300" t="s">
        <v>853</v>
      </c>
    </row>
    <row r="202" spans="1:15" x14ac:dyDescent="0.25">
      <c r="A202" s="299" t="s">
        <v>194</v>
      </c>
      <c r="B202" s="300" t="s">
        <v>455</v>
      </c>
      <c r="C202" s="301" t="s">
        <v>448</v>
      </c>
      <c r="D202" s="284" t="s">
        <v>546</v>
      </c>
      <c r="E202" s="284" t="s">
        <v>546</v>
      </c>
      <c r="F202" s="284" t="s">
        <v>546</v>
      </c>
      <c r="G202" s="284" t="s">
        <v>546</v>
      </c>
      <c r="H202" s="284">
        <v>0.28999999999999998</v>
      </c>
      <c r="I202" s="302"/>
      <c r="J202" s="302"/>
      <c r="K202" s="303">
        <v>75</v>
      </c>
      <c r="L202" s="284">
        <v>0</v>
      </c>
      <c r="M202" s="304" t="s">
        <v>431</v>
      </c>
      <c r="O202" s="300" t="s">
        <v>654</v>
      </c>
    </row>
    <row r="203" spans="1:15" x14ac:dyDescent="0.25">
      <c r="A203" s="299" t="s">
        <v>195</v>
      </c>
      <c r="B203" s="300" t="s">
        <v>454</v>
      </c>
      <c r="C203" s="301" t="s">
        <v>448</v>
      </c>
      <c r="D203" s="284" t="s">
        <v>546</v>
      </c>
      <c r="E203" s="284" t="s">
        <v>546</v>
      </c>
      <c r="F203" s="284" t="s">
        <v>546</v>
      </c>
      <c r="G203" s="284" t="s">
        <v>546</v>
      </c>
      <c r="H203" s="284" t="s">
        <v>546</v>
      </c>
      <c r="I203" s="302"/>
      <c r="J203" s="302"/>
      <c r="K203" s="303">
        <v>75</v>
      </c>
      <c r="L203" s="284">
        <v>0</v>
      </c>
      <c r="M203" s="304" t="s">
        <v>431</v>
      </c>
      <c r="O203" s="300" t="s">
        <v>854</v>
      </c>
    </row>
    <row r="204" spans="1:15" x14ac:dyDescent="0.25">
      <c r="A204" s="299" t="s">
        <v>196</v>
      </c>
      <c r="B204" s="300" t="s">
        <v>419</v>
      </c>
      <c r="C204" s="301" t="s">
        <v>448</v>
      </c>
      <c r="D204" s="284">
        <v>0.17</v>
      </c>
      <c r="E204" s="284" t="s">
        <v>546</v>
      </c>
      <c r="F204" s="284" t="s">
        <v>546</v>
      </c>
      <c r="G204" s="284" t="s">
        <v>546</v>
      </c>
      <c r="H204" s="284" t="s">
        <v>546</v>
      </c>
      <c r="I204" s="302"/>
      <c r="J204" s="302"/>
      <c r="K204" s="303">
        <v>75</v>
      </c>
      <c r="L204" s="284">
        <v>0</v>
      </c>
      <c r="M204" s="304" t="s">
        <v>431</v>
      </c>
      <c r="O204" s="300" t="s">
        <v>855</v>
      </c>
    </row>
    <row r="205" spans="1:15" x14ac:dyDescent="0.25">
      <c r="A205" s="299" t="s">
        <v>197</v>
      </c>
      <c r="B205" s="300" t="s">
        <v>420</v>
      </c>
      <c r="C205" s="301" t="s">
        <v>448</v>
      </c>
      <c r="D205" s="284">
        <v>0</v>
      </c>
      <c r="E205" s="284">
        <v>0</v>
      </c>
      <c r="F205" s="284">
        <v>0</v>
      </c>
      <c r="G205" s="284">
        <v>0</v>
      </c>
      <c r="H205" s="284">
        <v>0</v>
      </c>
      <c r="I205" s="302"/>
      <c r="J205" s="302"/>
      <c r="K205" s="303">
        <v>100</v>
      </c>
      <c r="L205" s="284">
        <v>0</v>
      </c>
      <c r="M205" s="304" t="s">
        <v>431</v>
      </c>
      <c r="O205" s="300" t="s">
        <v>856</v>
      </c>
    </row>
    <row r="206" spans="1:15" x14ac:dyDescent="0.25">
      <c r="A206" s="299" t="s">
        <v>198</v>
      </c>
      <c r="B206" s="300" t="s">
        <v>420</v>
      </c>
      <c r="C206" s="301" t="s">
        <v>448</v>
      </c>
      <c r="D206" s="284">
        <v>0</v>
      </c>
      <c r="E206" s="284">
        <v>0</v>
      </c>
      <c r="F206" s="284">
        <v>0</v>
      </c>
      <c r="G206" s="284">
        <v>0</v>
      </c>
      <c r="H206" s="284">
        <v>0</v>
      </c>
      <c r="I206" s="302"/>
      <c r="J206" s="302"/>
      <c r="K206" s="303">
        <v>100</v>
      </c>
      <c r="L206" s="284">
        <v>0</v>
      </c>
      <c r="M206" s="304" t="s">
        <v>431</v>
      </c>
      <c r="O206" s="300" t="s">
        <v>857</v>
      </c>
    </row>
    <row r="207" spans="1:15" x14ac:dyDescent="0.25">
      <c r="A207" s="299" t="s">
        <v>199</v>
      </c>
      <c r="B207" s="300" t="s">
        <v>454</v>
      </c>
      <c r="C207" s="301" t="s">
        <v>448</v>
      </c>
      <c r="D207" s="284" t="s">
        <v>546</v>
      </c>
      <c r="E207" s="284" t="s">
        <v>546</v>
      </c>
      <c r="F207" s="284" t="s">
        <v>546</v>
      </c>
      <c r="G207" s="284" t="s">
        <v>546</v>
      </c>
      <c r="H207" s="284" t="s">
        <v>546</v>
      </c>
      <c r="I207" s="302"/>
      <c r="J207" s="302"/>
      <c r="K207" s="303">
        <v>75</v>
      </c>
      <c r="L207" s="284">
        <v>0</v>
      </c>
      <c r="M207" s="304" t="s">
        <v>431</v>
      </c>
      <c r="O207" s="300" t="s">
        <v>858</v>
      </c>
    </row>
    <row r="208" spans="1:15" x14ac:dyDescent="0.25">
      <c r="A208" s="299" t="s">
        <v>200</v>
      </c>
      <c r="B208" s="300" t="s">
        <v>454</v>
      </c>
      <c r="C208" s="301" t="s">
        <v>448</v>
      </c>
      <c r="D208" s="284" t="s">
        <v>546</v>
      </c>
      <c r="E208" s="284" t="s">
        <v>546</v>
      </c>
      <c r="F208" s="284" t="s">
        <v>546</v>
      </c>
      <c r="G208" s="284" t="s">
        <v>546</v>
      </c>
      <c r="H208" s="284" t="s">
        <v>546</v>
      </c>
      <c r="I208" s="302"/>
      <c r="J208" s="302"/>
      <c r="K208" s="303">
        <v>75</v>
      </c>
      <c r="L208" s="284">
        <v>0</v>
      </c>
      <c r="M208" s="304" t="s">
        <v>431</v>
      </c>
      <c r="O208" s="300" t="s">
        <v>859</v>
      </c>
    </row>
    <row r="209" spans="1:15" x14ac:dyDescent="0.25">
      <c r="A209" s="299" t="s">
        <v>201</v>
      </c>
      <c r="B209" s="300" t="s">
        <v>419</v>
      </c>
      <c r="C209" s="301" t="s">
        <v>448</v>
      </c>
      <c r="D209" s="284">
        <v>0.46</v>
      </c>
      <c r="E209" s="284" t="s">
        <v>546</v>
      </c>
      <c r="F209" s="284" t="s">
        <v>546</v>
      </c>
      <c r="G209" s="284" t="s">
        <v>546</v>
      </c>
      <c r="H209" s="284" t="s">
        <v>546</v>
      </c>
      <c r="I209" s="302"/>
      <c r="J209" s="302"/>
      <c r="K209" s="303">
        <v>73</v>
      </c>
      <c r="L209" s="284">
        <v>0</v>
      </c>
      <c r="M209" s="304" t="s">
        <v>431</v>
      </c>
      <c r="O209" s="300" t="s">
        <v>860</v>
      </c>
    </row>
    <row r="210" spans="1:15" x14ac:dyDescent="0.25">
      <c r="A210" s="299" t="s">
        <v>202</v>
      </c>
      <c r="C210" s="301"/>
      <c r="D210" s="284" t="s">
        <v>546</v>
      </c>
      <c r="E210" s="284" t="s">
        <v>546</v>
      </c>
      <c r="F210" s="284" t="s">
        <v>546</v>
      </c>
      <c r="G210" s="284" t="s">
        <v>546</v>
      </c>
      <c r="H210" s="284" t="s">
        <v>546</v>
      </c>
      <c r="I210" s="302"/>
      <c r="J210" s="302"/>
      <c r="K210" s="303">
        <v>0</v>
      </c>
      <c r="L210" s="284">
        <v>0</v>
      </c>
      <c r="M210" s="304" t="s">
        <v>431</v>
      </c>
      <c r="O210" s="300" t="s">
        <v>847</v>
      </c>
    </row>
    <row r="211" spans="1:15" x14ac:dyDescent="0.25">
      <c r="A211" s="299" t="s">
        <v>203</v>
      </c>
      <c r="B211" s="300" t="s">
        <v>459</v>
      </c>
      <c r="C211" s="301" t="s">
        <v>448</v>
      </c>
      <c r="D211" s="284">
        <v>0.41</v>
      </c>
      <c r="E211" s="284">
        <v>0.36</v>
      </c>
      <c r="F211" s="284">
        <v>0.36</v>
      </c>
      <c r="G211" s="284" t="s">
        <v>546</v>
      </c>
      <c r="H211" s="284" t="s">
        <v>546</v>
      </c>
      <c r="I211" s="302"/>
      <c r="J211" s="302"/>
      <c r="K211" s="303">
        <v>75</v>
      </c>
      <c r="L211" s="284">
        <v>0</v>
      </c>
      <c r="M211" s="304" t="s">
        <v>431</v>
      </c>
      <c r="O211" s="300" t="s">
        <v>861</v>
      </c>
    </row>
    <row r="212" spans="1:15" x14ac:dyDescent="0.25">
      <c r="A212" s="299" t="s">
        <v>204</v>
      </c>
      <c r="B212" s="300" t="s">
        <v>420</v>
      </c>
      <c r="C212" s="301" t="s">
        <v>448</v>
      </c>
      <c r="D212" s="284">
        <v>0</v>
      </c>
      <c r="E212" s="284">
        <v>0</v>
      </c>
      <c r="F212" s="284">
        <v>0</v>
      </c>
      <c r="G212" s="284">
        <v>0</v>
      </c>
      <c r="H212" s="284">
        <v>0</v>
      </c>
      <c r="I212" s="302"/>
      <c r="J212" s="302"/>
      <c r="K212" s="303">
        <v>107</v>
      </c>
      <c r="L212" s="284">
        <v>0</v>
      </c>
      <c r="M212" s="304" t="s">
        <v>431</v>
      </c>
      <c r="O212" s="300" t="s">
        <v>862</v>
      </c>
    </row>
    <row r="213" spans="1:15" x14ac:dyDescent="0.25">
      <c r="A213" s="299" t="s">
        <v>205</v>
      </c>
      <c r="B213" s="300" t="s">
        <v>420</v>
      </c>
      <c r="C213" s="301" t="s">
        <v>448</v>
      </c>
      <c r="D213" s="284">
        <v>0</v>
      </c>
      <c r="E213" s="284">
        <v>0</v>
      </c>
      <c r="F213" s="284">
        <v>0</v>
      </c>
      <c r="G213" s="284">
        <v>0</v>
      </c>
      <c r="H213" s="284">
        <v>0</v>
      </c>
      <c r="I213" s="302">
        <v>67</v>
      </c>
      <c r="J213" s="302"/>
      <c r="K213" s="303">
        <v>110</v>
      </c>
      <c r="L213" s="284">
        <v>0</v>
      </c>
      <c r="M213" s="304" t="s">
        <v>431</v>
      </c>
      <c r="O213" s="300" t="s">
        <v>863</v>
      </c>
    </row>
    <row r="214" spans="1:15" x14ac:dyDescent="0.25">
      <c r="A214" s="299" t="s">
        <v>206</v>
      </c>
      <c r="B214" s="300" t="s">
        <v>460</v>
      </c>
      <c r="C214" s="301" t="s">
        <v>448</v>
      </c>
      <c r="D214" s="284">
        <v>0.47</v>
      </c>
      <c r="E214" s="284" t="s">
        <v>546</v>
      </c>
      <c r="F214" s="284" t="s">
        <v>546</v>
      </c>
      <c r="G214" s="284" t="s">
        <v>546</v>
      </c>
      <c r="H214" s="284" t="s">
        <v>546</v>
      </c>
      <c r="I214" s="302"/>
      <c r="J214" s="302"/>
      <c r="K214" s="303">
        <v>75</v>
      </c>
      <c r="L214" s="284">
        <v>0</v>
      </c>
      <c r="M214" s="304" t="s">
        <v>431</v>
      </c>
      <c r="O214" s="300" t="s">
        <v>864</v>
      </c>
    </row>
    <row r="215" spans="1:15" x14ac:dyDescent="0.25">
      <c r="A215" s="299" t="s">
        <v>207</v>
      </c>
      <c r="C215" s="301"/>
      <c r="D215" s="284" t="s">
        <v>546</v>
      </c>
      <c r="E215" s="284" t="s">
        <v>546</v>
      </c>
      <c r="F215" s="284" t="s">
        <v>546</v>
      </c>
      <c r="G215" s="284" t="s">
        <v>546</v>
      </c>
      <c r="H215" s="284" t="s">
        <v>546</v>
      </c>
      <c r="I215" s="302"/>
      <c r="J215" s="302"/>
      <c r="K215" s="303">
        <v>0</v>
      </c>
      <c r="L215" s="284">
        <v>0</v>
      </c>
      <c r="M215" s="304" t="s">
        <v>431</v>
      </c>
      <c r="O215" s="300" t="s">
        <v>865</v>
      </c>
    </row>
    <row r="216" spans="1:15" x14ac:dyDescent="0.25">
      <c r="A216" s="299" t="s">
        <v>208</v>
      </c>
      <c r="B216" s="300" t="s">
        <v>454</v>
      </c>
      <c r="C216" s="301" t="s">
        <v>448</v>
      </c>
      <c r="D216" s="284" t="s">
        <v>546</v>
      </c>
      <c r="E216" s="284" t="s">
        <v>546</v>
      </c>
      <c r="F216" s="284" t="s">
        <v>546</v>
      </c>
      <c r="G216" s="284" t="s">
        <v>546</v>
      </c>
      <c r="H216" s="284" t="s">
        <v>546</v>
      </c>
      <c r="I216" s="302"/>
      <c r="J216" s="302"/>
      <c r="K216" s="303">
        <v>75</v>
      </c>
      <c r="L216" s="284">
        <v>0</v>
      </c>
      <c r="M216" s="304" t="s">
        <v>431</v>
      </c>
      <c r="O216" s="300" t="s">
        <v>866</v>
      </c>
    </row>
    <row r="217" spans="1:15" x14ac:dyDescent="0.25">
      <c r="A217" s="299" t="s">
        <v>209</v>
      </c>
      <c r="B217" s="300" t="s">
        <v>450</v>
      </c>
      <c r="C217" s="301" t="s">
        <v>448</v>
      </c>
      <c r="D217" s="284" t="s">
        <v>546</v>
      </c>
      <c r="E217" s="284" t="s">
        <v>546</v>
      </c>
      <c r="F217" s="284" t="s">
        <v>546</v>
      </c>
      <c r="G217" s="284" t="s">
        <v>546</v>
      </c>
      <c r="H217" s="284" t="s">
        <v>546</v>
      </c>
      <c r="I217" s="302"/>
      <c r="J217" s="302"/>
      <c r="K217" s="303">
        <v>72</v>
      </c>
      <c r="L217" s="284">
        <v>0</v>
      </c>
      <c r="M217" s="304" t="s">
        <v>431</v>
      </c>
      <c r="O217" s="300" t="s">
        <v>867</v>
      </c>
    </row>
    <row r="218" spans="1:15" x14ac:dyDescent="0.25">
      <c r="A218" s="299" t="s">
        <v>210</v>
      </c>
      <c r="B218" s="300" t="s">
        <v>419</v>
      </c>
      <c r="C218" s="301" t="s">
        <v>448</v>
      </c>
      <c r="D218" s="284" t="s">
        <v>546</v>
      </c>
      <c r="E218" s="284" t="s">
        <v>546</v>
      </c>
      <c r="F218" s="284" t="s">
        <v>546</v>
      </c>
      <c r="G218" s="284" t="s">
        <v>546</v>
      </c>
      <c r="H218" s="284" t="s">
        <v>546</v>
      </c>
      <c r="I218" s="302"/>
      <c r="J218" s="302"/>
      <c r="K218" s="303">
        <v>75</v>
      </c>
      <c r="L218" s="284">
        <v>0</v>
      </c>
      <c r="M218" s="304" t="s">
        <v>431</v>
      </c>
      <c r="O218" s="300" t="s">
        <v>868</v>
      </c>
    </row>
    <row r="219" spans="1:15" x14ac:dyDescent="0.25">
      <c r="A219" s="299" t="s">
        <v>211</v>
      </c>
      <c r="B219" s="300" t="s">
        <v>419</v>
      </c>
      <c r="C219" s="301" t="s">
        <v>448</v>
      </c>
      <c r="D219" s="284">
        <v>0.28999999999999998</v>
      </c>
      <c r="E219" s="284" t="s">
        <v>546</v>
      </c>
      <c r="F219" s="284" t="s">
        <v>546</v>
      </c>
      <c r="G219" s="284" t="s">
        <v>546</v>
      </c>
      <c r="H219" s="284" t="s">
        <v>546</v>
      </c>
      <c r="I219" s="302">
        <v>52.8</v>
      </c>
      <c r="J219" s="302"/>
      <c r="K219" s="303">
        <v>73</v>
      </c>
      <c r="L219" s="284">
        <v>0</v>
      </c>
      <c r="M219" s="304" t="s">
        <v>431</v>
      </c>
      <c r="O219" s="300" t="s">
        <v>869</v>
      </c>
    </row>
    <row r="220" spans="1:15" x14ac:dyDescent="0.25">
      <c r="A220" s="299" t="s">
        <v>212</v>
      </c>
      <c r="B220" s="300" t="s">
        <v>454</v>
      </c>
      <c r="C220" s="301" t="s">
        <v>448</v>
      </c>
      <c r="D220" s="284">
        <v>0.52</v>
      </c>
      <c r="E220" s="284" t="s">
        <v>546</v>
      </c>
      <c r="F220" s="284" t="s">
        <v>546</v>
      </c>
      <c r="G220" s="284" t="s">
        <v>546</v>
      </c>
      <c r="H220" s="284" t="s">
        <v>546</v>
      </c>
      <c r="I220" s="302">
        <v>55.2</v>
      </c>
      <c r="J220" s="302"/>
      <c r="K220" s="303">
        <v>58</v>
      </c>
      <c r="L220" s="284">
        <v>0</v>
      </c>
      <c r="M220" s="304" t="s">
        <v>431</v>
      </c>
      <c r="O220" s="300" t="s">
        <v>870</v>
      </c>
    </row>
    <row r="221" spans="1:15" x14ac:dyDescent="0.25">
      <c r="A221" s="299" t="s">
        <v>213</v>
      </c>
      <c r="B221" s="300" t="s">
        <v>453</v>
      </c>
      <c r="C221" s="301" t="s">
        <v>448</v>
      </c>
      <c r="D221" s="284">
        <v>0.68</v>
      </c>
      <c r="E221" s="284" t="s">
        <v>546</v>
      </c>
      <c r="F221" s="284" t="s">
        <v>546</v>
      </c>
      <c r="G221" s="284" t="s">
        <v>546</v>
      </c>
      <c r="H221" s="284" t="s">
        <v>546</v>
      </c>
      <c r="I221" s="302">
        <v>70.5</v>
      </c>
      <c r="J221" s="302">
        <v>97.5</v>
      </c>
      <c r="K221" s="303">
        <v>95</v>
      </c>
      <c r="L221" s="284">
        <v>0</v>
      </c>
      <c r="M221" s="304" t="s">
        <v>431</v>
      </c>
      <c r="O221" s="300" t="s">
        <v>871</v>
      </c>
    </row>
    <row r="222" spans="1:15" x14ac:dyDescent="0.25">
      <c r="A222" s="299" t="s">
        <v>214</v>
      </c>
      <c r="B222" s="300" t="s">
        <v>420</v>
      </c>
      <c r="C222" s="301" t="s">
        <v>448</v>
      </c>
      <c r="D222" s="284">
        <v>0</v>
      </c>
      <c r="E222" s="284">
        <v>0</v>
      </c>
      <c r="F222" s="284">
        <v>0</v>
      </c>
      <c r="G222" s="284">
        <v>0</v>
      </c>
      <c r="H222" s="284">
        <v>0</v>
      </c>
      <c r="I222" s="302"/>
      <c r="J222" s="302"/>
      <c r="K222" s="303">
        <v>100</v>
      </c>
      <c r="L222" s="284">
        <v>0</v>
      </c>
      <c r="M222" s="304" t="s">
        <v>431</v>
      </c>
      <c r="O222" s="300" t="s">
        <v>661</v>
      </c>
    </row>
    <row r="223" spans="1:15" x14ac:dyDescent="0.25">
      <c r="A223" s="299" t="s">
        <v>425</v>
      </c>
      <c r="C223" s="301"/>
      <c r="D223" s="284" t="s">
        <v>546</v>
      </c>
      <c r="E223" s="284" t="s">
        <v>546</v>
      </c>
      <c r="F223" s="284" t="s">
        <v>546</v>
      </c>
      <c r="G223" s="284" t="s">
        <v>546</v>
      </c>
      <c r="H223" s="284" t="s">
        <v>546</v>
      </c>
      <c r="I223" s="302"/>
      <c r="J223" s="302"/>
      <c r="K223" s="303">
        <v>0</v>
      </c>
      <c r="L223" s="284">
        <v>0</v>
      </c>
      <c r="M223" s="304" t="s">
        <v>431</v>
      </c>
      <c r="O223" s="300" t="s">
        <v>872</v>
      </c>
    </row>
    <row r="224" spans="1:15" x14ac:dyDescent="0.25">
      <c r="A224" s="299" t="s">
        <v>215</v>
      </c>
      <c r="B224" s="300" t="s">
        <v>419</v>
      </c>
      <c r="C224" s="301" t="s">
        <v>448</v>
      </c>
      <c r="D224" s="284">
        <v>0.49</v>
      </c>
      <c r="E224" s="284" t="s">
        <v>546</v>
      </c>
      <c r="F224" s="284" t="s">
        <v>546</v>
      </c>
      <c r="G224" s="284" t="s">
        <v>546</v>
      </c>
      <c r="H224" s="284">
        <v>0.48</v>
      </c>
      <c r="I224" s="302">
        <v>46.8</v>
      </c>
      <c r="J224" s="302"/>
      <c r="K224" s="303">
        <v>75</v>
      </c>
      <c r="L224" s="284">
        <v>0</v>
      </c>
      <c r="M224" s="304" t="s">
        <v>431</v>
      </c>
      <c r="O224" s="300" t="s">
        <v>873</v>
      </c>
    </row>
    <row r="225" spans="1:15" x14ac:dyDescent="0.25">
      <c r="A225" s="299" t="s">
        <v>247</v>
      </c>
      <c r="B225" s="300" t="s">
        <v>419</v>
      </c>
      <c r="C225" s="301" t="s">
        <v>448</v>
      </c>
      <c r="D225" s="284" t="s">
        <v>546</v>
      </c>
      <c r="E225" s="284" t="s">
        <v>546</v>
      </c>
      <c r="F225" s="284" t="s">
        <v>546</v>
      </c>
      <c r="G225" s="284" t="s">
        <v>546</v>
      </c>
      <c r="H225" s="284" t="s">
        <v>546</v>
      </c>
      <c r="I225" s="302"/>
      <c r="J225" s="302"/>
      <c r="K225" s="303">
        <v>75</v>
      </c>
      <c r="L225" s="284">
        <v>0</v>
      </c>
      <c r="M225" s="304" t="s">
        <v>431</v>
      </c>
      <c r="O225" s="300" t="s">
        <v>874</v>
      </c>
    </row>
    <row r="226" spans="1:15" x14ac:dyDescent="0.25">
      <c r="A226" s="299" t="s">
        <v>216</v>
      </c>
      <c r="B226" s="300" t="s">
        <v>453</v>
      </c>
      <c r="C226" s="301" t="s">
        <v>448</v>
      </c>
      <c r="D226" s="284">
        <v>0.52</v>
      </c>
      <c r="E226" s="284" t="s">
        <v>546</v>
      </c>
      <c r="F226" s="284" t="s">
        <v>546</v>
      </c>
      <c r="G226" s="284" t="s">
        <v>546</v>
      </c>
      <c r="H226" s="284" t="s">
        <v>546</v>
      </c>
      <c r="I226" s="302"/>
      <c r="J226" s="302"/>
      <c r="K226" s="303">
        <v>75</v>
      </c>
      <c r="L226" s="284">
        <v>0</v>
      </c>
      <c r="M226" s="304" t="s">
        <v>431</v>
      </c>
      <c r="O226" s="300" t="s">
        <v>875</v>
      </c>
    </row>
    <row r="227" spans="1:15" x14ac:dyDescent="0.25">
      <c r="A227" s="299" t="s">
        <v>217</v>
      </c>
      <c r="C227" s="301"/>
      <c r="D227" s="284" t="s">
        <v>546</v>
      </c>
      <c r="E227" s="284" t="s">
        <v>546</v>
      </c>
      <c r="F227" s="284" t="s">
        <v>546</v>
      </c>
      <c r="G227" s="284" t="s">
        <v>546</v>
      </c>
      <c r="H227" s="284" t="s">
        <v>546</v>
      </c>
      <c r="I227" s="302"/>
      <c r="J227" s="302"/>
      <c r="K227" s="303">
        <v>0</v>
      </c>
      <c r="L227" s="284">
        <v>0</v>
      </c>
      <c r="M227" s="304" t="s">
        <v>431</v>
      </c>
      <c r="O227" s="300" t="s">
        <v>876</v>
      </c>
    </row>
    <row r="228" spans="1:15" x14ac:dyDescent="0.25">
      <c r="A228" s="299" t="s">
        <v>218</v>
      </c>
      <c r="B228" s="300" t="s">
        <v>461</v>
      </c>
      <c r="C228" s="301" t="s">
        <v>448</v>
      </c>
      <c r="D228" s="284" t="s">
        <v>546</v>
      </c>
      <c r="E228" s="284" t="s">
        <v>546</v>
      </c>
      <c r="F228" s="284" t="s">
        <v>546</v>
      </c>
      <c r="G228" s="284" t="s">
        <v>546</v>
      </c>
      <c r="H228" s="284" t="s">
        <v>546</v>
      </c>
      <c r="I228" s="302"/>
      <c r="J228" s="302"/>
      <c r="K228" s="303">
        <v>75</v>
      </c>
      <c r="L228" s="284">
        <v>0</v>
      </c>
      <c r="M228" s="304" t="s">
        <v>431</v>
      </c>
      <c r="O228" s="300" t="s">
        <v>877</v>
      </c>
    </row>
    <row r="229" spans="1:15" x14ac:dyDescent="0.25">
      <c r="A229" s="299" t="s">
        <v>219</v>
      </c>
      <c r="B229" s="300" t="s">
        <v>459</v>
      </c>
      <c r="C229" s="301" t="s">
        <v>448</v>
      </c>
      <c r="D229" s="284">
        <v>0.36</v>
      </c>
      <c r="E229" s="284" t="s">
        <v>546</v>
      </c>
      <c r="F229" s="284">
        <v>0.32</v>
      </c>
      <c r="G229" s="284" t="s">
        <v>546</v>
      </c>
      <c r="H229" s="284" t="s">
        <v>546</v>
      </c>
      <c r="I229" s="302">
        <v>59.3</v>
      </c>
      <c r="J229" s="302"/>
      <c r="K229" s="303">
        <v>80</v>
      </c>
      <c r="L229" s="284">
        <v>0</v>
      </c>
      <c r="M229" s="304" t="s">
        <v>431</v>
      </c>
      <c r="O229" s="300" t="s">
        <v>878</v>
      </c>
    </row>
    <row r="230" spans="1:15" x14ac:dyDescent="0.25">
      <c r="A230" s="299" t="s">
        <v>220</v>
      </c>
      <c r="B230" s="300" t="s">
        <v>450</v>
      </c>
      <c r="C230" s="301" t="s">
        <v>448</v>
      </c>
      <c r="D230" s="284">
        <v>0.36</v>
      </c>
      <c r="E230" s="284" t="s">
        <v>546</v>
      </c>
      <c r="F230" s="284" t="s">
        <v>546</v>
      </c>
      <c r="G230" s="284" t="s">
        <v>546</v>
      </c>
      <c r="H230" s="284" t="s">
        <v>546</v>
      </c>
      <c r="I230" s="302">
        <v>40.700000000000003</v>
      </c>
      <c r="J230" s="302"/>
      <c r="K230" s="303">
        <v>57</v>
      </c>
      <c r="L230" s="284">
        <v>0</v>
      </c>
      <c r="M230" s="304" t="s">
        <v>431</v>
      </c>
      <c r="O230" s="300" t="s">
        <v>879</v>
      </c>
    </row>
    <row r="231" spans="1:15" x14ac:dyDescent="0.25">
      <c r="A231" s="299" t="s">
        <v>221</v>
      </c>
      <c r="B231" s="300" t="s">
        <v>419</v>
      </c>
      <c r="C231" s="301" t="s">
        <v>448</v>
      </c>
      <c r="D231" s="284" t="s">
        <v>546</v>
      </c>
      <c r="E231" s="284" t="s">
        <v>546</v>
      </c>
      <c r="F231" s="284" t="s">
        <v>546</v>
      </c>
      <c r="G231" s="284" t="s">
        <v>546</v>
      </c>
      <c r="H231" s="284" t="s">
        <v>546</v>
      </c>
      <c r="I231" s="302"/>
      <c r="J231" s="302"/>
      <c r="K231" s="303">
        <v>75</v>
      </c>
      <c r="L231" s="284">
        <v>0</v>
      </c>
      <c r="M231" s="304" t="s">
        <v>431</v>
      </c>
      <c r="O231" s="300" t="s">
        <v>880</v>
      </c>
    </row>
    <row r="232" spans="1:15" x14ac:dyDescent="0.25">
      <c r="A232" s="299" t="s">
        <v>222</v>
      </c>
      <c r="C232" s="301"/>
      <c r="D232" s="284" t="s">
        <v>546</v>
      </c>
      <c r="E232" s="284" t="s">
        <v>546</v>
      </c>
      <c r="F232" s="284" t="s">
        <v>546</v>
      </c>
      <c r="G232" s="284" t="s">
        <v>546</v>
      </c>
      <c r="H232" s="284" t="s">
        <v>546</v>
      </c>
      <c r="I232" s="302"/>
      <c r="J232" s="302"/>
      <c r="K232" s="303">
        <v>0</v>
      </c>
      <c r="L232" s="284">
        <v>0</v>
      </c>
      <c r="M232" s="304" t="s">
        <v>431</v>
      </c>
      <c r="O232" s="300" t="s">
        <v>881</v>
      </c>
    </row>
    <row r="233" spans="1:15" x14ac:dyDescent="0.25">
      <c r="A233" s="299" t="s">
        <v>426</v>
      </c>
      <c r="B233" s="300" t="s">
        <v>419</v>
      </c>
      <c r="C233" s="301" t="s">
        <v>448</v>
      </c>
      <c r="D233" s="284" t="s">
        <v>546</v>
      </c>
      <c r="E233" s="284" t="s">
        <v>546</v>
      </c>
      <c r="F233" s="284" t="s">
        <v>546</v>
      </c>
      <c r="G233" s="284" t="s">
        <v>546</v>
      </c>
      <c r="H233" s="284" t="s">
        <v>546</v>
      </c>
      <c r="I233" s="302"/>
      <c r="J233" s="302"/>
      <c r="K233" s="303">
        <v>71</v>
      </c>
      <c r="L233" s="284">
        <v>0</v>
      </c>
      <c r="M233" s="304" t="s">
        <v>431</v>
      </c>
      <c r="O233" s="300" t="s">
        <v>882</v>
      </c>
    </row>
    <row r="234" spans="1:15" x14ac:dyDescent="0.25">
      <c r="A234" s="299" t="s">
        <v>427</v>
      </c>
      <c r="B234" s="300" t="s">
        <v>420</v>
      </c>
      <c r="C234" s="301" t="s">
        <v>448</v>
      </c>
      <c r="D234" s="284">
        <v>0</v>
      </c>
      <c r="E234" s="284">
        <v>0</v>
      </c>
      <c r="F234" s="284">
        <v>0</v>
      </c>
      <c r="G234" s="284">
        <v>0</v>
      </c>
      <c r="H234" s="284">
        <v>0</v>
      </c>
      <c r="I234" s="302"/>
      <c r="J234" s="302"/>
      <c r="K234" s="303">
        <v>90</v>
      </c>
      <c r="L234" s="284">
        <v>0</v>
      </c>
      <c r="M234" s="304" t="s">
        <v>431</v>
      </c>
      <c r="O234" s="300" t="s">
        <v>882</v>
      </c>
    </row>
    <row r="235" spans="1:15" x14ac:dyDescent="0.25">
      <c r="A235" s="299" t="s">
        <v>223</v>
      </c>
      <c r="B235" s="300" t="s">
        <v>461</v>
      </c>
      <c r="C235" s="301" t="s">
        <v>448</v>
      </c>
      <c r="D235" s="284" t="s">
        <v>546</v>
      </c>
      <c r="E235" s="284" t="s">
        <v>546</v>
      </c>
      <c r="F235" s="284" t="s">
        <v>546</v>
      </c>
      <c r="G235" s="284" t="s">
        <v>546</v>
      </c>
      <c r="H235" s="284" t="s">
        <v>546</v>
      </c>
      <c r="I235" s="302"/>
      <c r="J235" s="302"/>
      <c r="K235" s="303">
        <v>75</v>
      </c>
      <c r="L235" s="284">
        <v>0</v>
      </c>
      <c r="M235" s="304" t="s">
        <v>431</v>
      </c>
      <c r="O235" s="300" t="s">
        <v>883</v>
      </c>
    </row>
    <row r="236" spans="1:15" x14ac:dyDescent="0.25">
      <c r="A236" s="299" t="s">
        <v>224</v>
      </c>
      <c r="B236" s="300" t="s">
        <v>420</v>
      </c>
      <c r="C236" s="301" t="s">
        <v>448</v>
      </c>
      <c r="D236" s="284">
        <v>0</v>
      </c>
      <c r="E236" s="284">
        <v>0</v>
      </c>
      <c r="F236" s="284">
        <v>0</v>
      </c>
      <c r="G236" s="284">
        <v>0</v>
      </c>
      <c r="H236" s="284">
        <v>0</v>
      </c>
      <c r="I236" s="302"/>
      <c r="J236" s="302"/>
      <c r="K236" s="303">
        <v>100</v>
      </c>
      <c r="L236" s="284">
        <v>0</v>
      </c>
      <c r="M236" s="304" t="s">
        <v>431</v>
      </c>
      <c r="O236" s="300" t="s">
        <v>884</v>
      </c>
    </row>
    <row r="237" spans="1:15" x14ac:dyDescent="0.25">
      <c r="A237" s="299" t="s">
        <v>225</v>
      </c>
      <c r="B237" s="300" t="s">
        <v>460</v>
      </c>
      <c r="C237" s="301" t="s">
        <v>448</v>
      </c>
      <c r="D237" s="284">
        <v>0.31</v>
      </c>
      <c r="E237" s="284" t="s">
        <v>546</v>
      </c>
      <c r="F237" s="284" t="s">
        <v>546</v>
      </c>
      <c r="G237" s="284" t="s">
        <v>546</v>
      </c>
      <c r="H237" s="284" t="s">
        <v>546</v>
      </c>
      <c r="I237" s="302"/>
      <c r="J237" s="302"/>
      <c r="K237" s="303">
        <v>75</v>
      </c>
      <c r="L237" s="284" t="s">
        <v>546</v>
      </c>
      <c r="M237" s="304" t="s">
        <v>431</v>
      </c>
      <c r="O237" s="300" t="s">
        <v>885</v>
      </c>
    </row>
    <row r="238" spans="1:15" x14ac:dyDescent="0.25">
      <c r="A238" s="299" t="s">
        <v>226</v>
      </c>
      <c r="B238" s="300" t="s">
        <v>461</v>
      </c>
      <c r="C238" s="301" t="s">
        <v>448</v>
      </c>
      <c r="D238" s="284">
        <v>0.38</v>
      </c>
      <c r="E238" s="284" t="s">
        <v>546</v>
      </c>
      <c r="F238" s="284" t="s">
        <v>546</v>
      </c>
      <c r="G238" s="284" t="s">
        <v>546</v>
      </c>
      <c r="H238" s="284" t="s">
        <v>546</v>
      </c>
      <c r="I238" s="302">
        <v>51.6</v>
      </c>
      <c r="J238" s="302"/>
      <c r="K238" s="303">
        <v>97</v>
      </c>
      <c r="L238" s="284" t="s">
        <v>546</v>
      </c>
      <c r="M238" s="304" t="s">
        <v>431</v>
      </c>
      <c r="O238" s="300" t="s">
        <v>886</v>
      </c>
    </row>
    <row r="239" spans="1:15" x14ac:dyDescent="0.25">
      <c r="A239" s="299" t="s">
        <v>227</v>
      </c>
      <c r="B239" s="300" t="s">
        <v>420</v>
      </c>
      <c r="C239" s="301"/>
      <c r="D239" s="284">
        <v>0</v>
      </c>
      <c r="E239" s="284">
        <v>0</v>
      </c>
      <c r="F239" s="284">
        <v>0</v>
      </c>
      <c r="G239" s="284">
        <v>0</v>
      </c>
      <c r="H239" s="284">
        <v>0</v>
      </c>
      <c r="I239" s="302"/>
      <c r="J239" s="302"/>
      <c r="K239" s="303">
        <v>0</v>
      </c>
      <c r="L239" s="284" t="s">
        <v>546</v>
      </c>
      <c r="M239" s="304" t="s">
        <v>431</v>
      </c>
      <c r="O239" s="300" t="s">
        <v>887</v>
      </c>
    </row>
    <row r="240" spans="1:15" x14ac:dyDescent="0.25">
      <c r="A240" s="299" t="s">
        <v>228</v>
      </c>
      <c r="B240" s="300" t="s">
        <v>460</v>
      </c>
      <c r="C240" s="301" t="s">
        <v>448</v>
      </c>
      <c r="D240" s="284" t="s">
        <v>546</v>
      </c>
      <c r="E240" s="284" t="s">
        <v>546</v>
      </c>
      <c r="F240" s="284" t="s">
        <v>546</v>
      </c>
      <c r="G240" s="284" t="s">
        <v>546</v>
      </c>
      <c r="H240" s="284" t="s">
        <v>546</v>
      </c>
      <c r="I240" s="302"/>
      <c r="J240" s="302"/>
      <c r="K240" s="303">
        <v>75</v>
      </c>
      <c r="L240" s="284" t="s">
        <v>546</v>
      </c>
      <c r="M240" s="304" t="s">
        <v>431</v>
      </c>
      <c r="O240" s="300" t="s">
        <v>888</v>
      </c>
    </row>
    <row r="241" spans="1:15" x14ac:dyDescent="0.25">
      <c r="A241" s="299" t="s">
        <v>229</v>
      </c>
      <c r="C241" s="301"/>
      <c r="D241" s="284" t="s">
        <v>546</v>
      </c>
      <c r="E241" s="284" t="s">
        <v>546</v>
      </c>
      <c r="F241" s="284" t="s">
        <v>546</v>
      </c>
      <c r="G241" s="284" t="s">
        <v>546</v>
      </c>
      <c r="H241" s="284" t="s">
        <v>546</v>
      </c>
      <c r="I241" s="302"/>
      <c r="J241" s="302"/>
      <c r="K241" s="303">
        <v>0</v>
      </c>
      <c r="L241" s="284" t="s">
        <v>546</v>
      </c>
      <c r="M241" s="304" t="s">
        <v>431</v>
      </c>
      <c r="O241" s="300" t="s">
        <v>758</v>
      </c>
    </row>
    <row r="242" spans="1:15" x14ac:dyDescent="0.25">
      <c r="A242" s="299" t="s">
        <v>230</v>
      </c>
      <c r="C242" s="301"/>
      <c r="D242" s="284" t="s">
        <v>546</v>
      </c>
      <c r="E242" s="284" t="s">
        <v>546</v>
      </c>
      <c r="F242" s="284" t="s">
        <v>546</v>
      </c>
      <c r="G242" s="284" t="s">
        <v>546</v>
      </c>
      <c r="H242" s="284" t="s">
        <v>546</v>
      </c>
      <c r="I242" s="302"/>
      <c r="J242" s="302"/>
      <c r="K242" s="303">
        <v>0</v>
      </c>
      <c r="L242" s="284" t="s">
        <v>546</v>
      </c>
      <c r="M242" s="304" t="s">
        <v>431</v>
      </c>
      <c r="O242" s="300" t="s">
        <v>757</v>
      </c>
    </row>
    <row r="243" spans="1:15" x14ac:dyDescent="0.25">
      <c r="A243" s="299" t="s">
        <v>231</v>
      </c>
      <c r="B243" s="300" t="s">
        <v>419</v>
      </c>
      <c r="C243" s="301" t="s">
        <v>448</v>
      </c>
      <c r="D243" s="284">
        <v>0.42</v>
      </c>
      <c r="E243" s="284" t="s">
        <v>546</v>
      </c>
      <c r="F243" s="284" t="s">
        <v>546</v>
      </c>
      <c r="G243" s="284" t="s">
        <v>546</v>
      </c>
      <c r="H243" s="284">
        <v>0.42</v>
      </c>
      <c r="I243" s="302">
        <v>48.9</v>
      </c>
      <c r="J243" s="302"/>
      <c r="K243" s="303">
        <v>75</v>
      </c>
      <c r="L243" s="284" t="s">
        <v>546</v>
      </c>
      <c r="M243" s="304" t="s">
        <v>431</v>
      </c>
      <c r="O243" s="300" t="s">
        <v>889</v>
      </c>
    </row>
    <row r="244" spans="1:15" x14ac:dyDescent="0.25">
      <c r="A244" s="299" t="s">
        <v>232</v>
      </c>
      <c r="B244" s="300" t="s">
        <v>456</v>
      </c>
      <c r="C244" s="301" t="s">
        <v>448</v>
      </c>
      <c r="D244" s="284" t="s">
        <v>546</v>
      </c>
      <c r="E244" s="284" t="s">
        <v>546</v>
      </c>
      <c r="F244" s="284" t="s">
        <v>546</v>
      </c>
      <c r="G244" s="284" t="s">
        <v>546</v>
      </c>
      <c r="H244" s="284" t="s">
        <v>546</v>
      </c>
      <c r="I244" s="302"/>
      <c r="J244" s="302"/>
      <c r="K244" s="303">
        <v>75</v>
      </c>
      <c r="L244" s="284" t="s">
        <v>546</v>
      </c>
      <c r="M244" s="304" t="s">
        <v>431</v>
      </c>
      <c r="O244" s="300" t="s">
        <v>890</v>
      </c>
    </row>
    <row r="245" spans="1:15" x14ac:dyDescent="0.25">
      <c r="A245" s="299" t="s">
        <v>233</v>
      </c>
      <c r="B245" s="300" t="s">
        <v>450</v>
      </c>
      <c r="C245" s="301" t="s">
        <v>448</v>
      </c>
      <c r="D245" s="284" t="s">
        <v>546</v>
      </c>
      <c r="E245" s="284" t="s">
        <v>546</v>
      </c>
      <c r="F245" s="284" t="s">
        <v>546</v>
      </c>
      <c r="G245" s="284" t="s">
        <v>546</v>
      </c>
      <c r="H245" s="284" t="s">
        <v>546</v>
      </c>
      <c r="I245" s="302"/>
      <c r="J245" s="302"/>
      <c r="K245" s="303">
        <v>75</v>
      </c>
      <c r="L245" s="284" t="s">
        <v>546</v>
      </c>
      <c r="M245" s="304" t="s">
        <v>431</v>
      </c>
      <c r="O245" s="300" t="s">
        <v>891</v>
      </c>
    </row>
    <row r="246" spans="1:15" x14ac:dyDescent="0.25">
      <c r="A246" s="299" t="s">
        <v>234</v>
      </c>
      <c r="B246" s="300" t="s">
        <v>454</v>
      </c>
      <c r="C246" s="301" t="s">
        <v>448</v>
      </c>
      <c r="D246" s="284">
        <v>0.44</v>
      </c>
      <c r="E246" s="284" t="s">
        <v>546</v>
      </c>
      <c r="F246" s="284" t="s">
        <v>546</v>
      </c>
      <c r="G246" s="284" t="s">
        <v>546</v>
      </c>
      <c r="H246" s="284" t="s">
        <v>546</v>
      </c>
      <c r="I246" s="302"/>
      <c r="J246" s="302"/>
      <c r="K246" s="303">
        <v>66</v>
      </c>
      <c r="L246" s="284" t="s">
        <v>546</v>
      </c>
      <c r="M246" s="304" t="s">
        <v>431</v>
      </c>
      <c r="O246" s="300" t="s">
        <v>892</v>
      </c>
    </row>
    <row r="247" spans="1:15" x14ac:dyDescent="0.25">
      <c r="A247" s="299" t="s">
        <v>235</v>
      </c>
      <c r="B247" s="300" t="s">
        <v>454</v>
      </c>
      <c r="C247" s="301" t="s">
        <v>448</v>
      </c>
      <c r="D247" s="284">
        <v>0.53</v>
      </c>
      <c r="E247" s="284" t="s">
        <v>546</v>
      </c>
      <c r="F247" s="284">
        <v>0.53</v>
      </c>
      <c r="G247" s="284" t="s">
        <v>546</v>
      </c>
      <c r="H247" s="284">
        <v>0.51</v>
      </c>
      <c r="I247" s="302">
        <v>52.2</v>
      </c>
      <c r="J247" s="302">
        <v>71.7</v>
      </c>
      <c r="K247" s="303">
        <v>67</v>
      </c>
      <c r="L247" s="284" t="s">
        <v>546</v>
      </c>
      <c r="M247" s="304" t="s">
        <v>431</v>
      </c>
      <c r="O247" s="300" t="s">
        <v>893</v>
      </c>
    </row>
    <row r="248" spans="1:15" x14ac:dyDescent="0.25">
      <c r="M248" s="304"/>
    </row>
    <row r="249" spans="1:15" x14ac:dyDescent="0.25">
      <c r="M249" s="304"/>
    </row>
    <row r="250" spans="1:15" x14ac:dyDescent="0.25">
      <c r="M250" s="304"/>
    </row>
    <row r="251" spans="1:15" x14ac:dyDescent="0.25">
      <c r="M251" s="304"/>
    </row>
    <row r="252" spans="1:15" x14ac:dyDescent="0.25">
      <c r="M252" s="304"/>
    </row>
    <row r="253" spans="1:15" x14ac:dyDescent="0.25">
      <c r="M253" s="304"/>
    </row>
    <row r="254" spans="1:15" x14ac:dyDescent="0.25">
      <c r="M254" s="304"/>
    </row>
    <row r="255" spans="1:15" x14ac:dyDescent="0.25">
      <c r="M255" s="304"/>
    </row>
    <row r="256" spans="1:15" x14ac:dyDescent="0.25">
      <c r="M256" s="304"/>
    </row>
    <row r="257" spans="1:13" x14ac:dyDescent="0.25">
      <c r="M257" s="304"/>
    </row>
    <row r="258" spans="1:13" x14ac:dyDescent="0.25">
      <c r="M258" s="304"/>
    </row>
    <row r="259" spans="1:13" x14ac:dyDescent="0.25">
      <c r="M259" s="304"/>
    </row>
    <row r="260" spans="1:13" x14ac:dyDescent="0.25">
      <c r="A260" s="306"/>
      <c r="B260" s="306"/>
      <c r="C260" s="307"/>
      <c r="D260" s="306"/>
      <c r="E260" s="306"/>
      <c r="F260" s="306"/>
      <c r="G260" s="306"/>
      <c r="H260" s="306"/>
      <c r="I260" s="306"/>
      <c r="J260" s="306"/>
      <c r="K260" s="306"/>
      <c r="L260" s="306"/>
      <c r="M260" s="308"/>
    </row>
  </sheetData>
  <sheetProtection algorithmName="SHA-512" hashValue="s28K2j5re7Mnqa+lHqcSOuT9xKu56WVNVDeGd073AcCTZmhu3NRvOOj308mZdMaTJMVm7zFOVrM2K8nFwfvmJQ==" saltValue="jwpRThYWH9TSLpAJClGiJA==" spinCount="100000" sheet="1" selectLockedCells="1"/>
  <autoFilter ref="A1:M247" xr:uid="{00000000-0009-0000-0000-000006000000}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7"/>
  <sheetViews>
    <sheetView workbookViewId="0"/>
  </sheetViews>
  <sheetFormatPr defaultColWidth="11.44140625" defaultRowHeight="14.4" x14ac:dyDescent="0.3"/>
  <cols>
    <col min="1" max="1" width="43.6640625" customWidth="1"/>
    <col min="2" max="2" width="11.44140625" bestFit="1" customWidth="1"/>
    <col min="3" max="3" width="30.44140625" bestFit="1" customWidth="1"/>
    <col min="4" max="4" width="16.33203125" customWidth="1"/>
    <col min="5" max="5" width="45.109375" customWidth="1"/>
  </cols>
  <sheetData>
    <row r="1" spans="1:5" x14ac:dyDescent="0.3">
      <c r="A1" s="176" t="s">
        <v>240</v>
      </c>
      <c r="B1" s="176" t="s">
        <v>326</v>
      </c>
      <c r="C1" s="176" t="s">
        <v>254</v>
      </c>
      <c r="D1" s="176" t="s">
        <v>327</v>
      </c>
      <c r="E1" s="176" t="s">
        <v>486</v>
      </c>
    </row>
    <row r="2" spans="1:5" x14ac:dyDescent="0.3">
      <c r="A2" t="str">
        <f t="shared" ref="A2:A47" si="0">$B2&amp;"-"&amp;$C2</f>
        <v>A0017-UMR INTERTRYP</v>
      </c>
      <c r="B2" t="s">
        <v>328</v>
      </c>
      <c r="C2" t="s">
        <v>329</v>
      </c>
      <c r="D2" t="s">
        <v>237</v>
      </c>
    </row>
    <row r="3" spans="1:5" x14ac:dyDescent="0.3">
      <c r="A3" t="str">
        <f t="shared" si="0"/>
        <v>A0051-UMR AMAP</v>
      </c>
      <c r="B3" t="s">
        <v>330</v>
      </c>
      <c r="C3" t="s">
        <v>331</v>
      </c>
      <c r="D3" t="s">
        <v>237</v>
      </c>
    </row>
    <row r="4" spans="1:5" x14ac:dyDescent="0.3">
      <c r="A4" t="str">
        <f t="shared" si="0"/>
        <v>A0053-UMR PVBMT</v>
      </c>
      <c r="B4" t="s">
        <v>332</v>
      </c>
      <c r="C4" t="s">
        <v>333</v>
      </c>
      <c r="D4" t="s">
        <v>237</v>
      </c>
    </row>
    <row r="5" spans="1:5" x14ac:dyDescent="0.3">
      <c r="A5" t="str">
        <f t="shared" si="0"/>
        <v>A0055-UMR CBGP</v>
      </c>
      <c r="B5" t="s">
        <v>334</v>
      </c>
      <c r="C5" t="s">
        <v>335</v>
      </c>
      <c r="D5" t="s">
        <v>237</v>
      </c>
    </row>
    <row r="6" spans="1:5" x14ac:dyDescent="0.3">
      <c r="A6" t="str">
        <f t="shared" si="0"/>
        <v>A0082-UMR LSTM</v>
      </c>
      <c r="B6" t="s">
        <v>336</v>
      </c>
      <c r="C6" t="s">
        <v>337</v>
      </c>
      <c r="D6" t="s">
        <v>237</v>
      </c>
    </row>
    <row r="7" spans="1:5" x14ac:dyDescent="0.3">
      <c r="A7" t="str">
        <f t="shared" si="0"/>
        <v>A0100-UMR DIADE</v>
      </c>
      <c r="B7" t="s">
        <v>338</v>
      </c>
      <c r="C7" t="s">
        <v>339</v>
      </c>
      <c r="D7" t="s">
        <v>237</v>
      </c>
    </row>
    <row r="8" spans="1:5" x14ac:dyDescent="0.3">
      <c r="A8" t="str">
        <f t="shared" si="0"/>
        <v>A0108-UMR AGAP</v>
      </c>
      <c r="B8" t="s">
        <v>340</v>
      </c>
      <c r="C8" t="s">
        <v>341</v>
      </c>
      <c r="D8" t="s">
        <v>237</v>
      </c>
    </row>
    <row r="9" spans="1:5" x14ac:dyDescent="0.3">
      <c r="A9" t="str">
        <f t="shared" si="0"/>
        <v>A0117-UMR ASTRE</v>
      </c>
      <c r="B9" t="s">
        <v>530</v>
      </c>
      <c r="C9" t="s">
        <v>529</v>
      </c>
      <c r="D9" t="s">
        <v>237</v>
      </c>
    </row>
    <row r="10" spans="1:5" x14ac:dyDescent="0.3">
      <c r="A10" t="str">
        <f t="shared" si="0"/>
        <v>A0120-UMR PHIM</v>
      </c>
      <c r="B10" t="s">
        <v>1716</v>
      </c>
      <c r="C10" t="s">
        <v>1717</v>
      </c>
      <c r="D10" t="s">
        <v>237</v>
      </c>
    </row>
    <row r="11" spans="1:5" x14ac:dyDescent="0.3">
      <c r="A11" t="str">
        <f t="shared" si="0"/>
        <v>B0026-UPR GECO</v>
      </c>
      <c r="B11" t="s">
        <v>342</v>
      </c>
      <c r="C11" t="s">
        <v>519</v>
      </c>
      <c r="D11" t="s">
        <v>239</v>
      </c>
    </row>
    <row r="12" spans="1:5" x14ac:dyDescent="0.3">
      <c r="A12" t="str">
        <f t="shared" si="0"/>
        <v>B0049-US Analyses</v>
      </c>
      <c r="B12" t="s">
        <v>343</v>
      </c>
      <c r="C12" t="s">
        <v>344</v>
      </c>
      <c r="D12" t="s">
        <v>239</v>
      </c>
    </row>
    <row r="13" spans="1:5" x14ac:dyDescent="0.3">
      <c r="A13" t="str">
        <f t="shared" si="0"/>
        <v>B0078-UPR Recyclage et risque</v>
      </c>
      <c r="B13" t="s">
        <v>345</v>
      </c>
      <c r="C13" t="s">
        <v>346</v>
      </c>
      <c r="D13" t="s">
        <v>239</v>
      </c>
    </row>
    <row r="14" spans="1:5" x14ac:dyDescent="0.3">
      <c r="A14" t="str">
        <f t="shared" si="0"/>
        <v>B0095-UMR QUALISUD</v>
      </c>
      <c r="B14" t="s">
        <v>347</v>
      </c>
      <c r="C14" t="s">
        <v>348</v>
      </c>
      <c r="D14" t="s">
        <v>239</v>
      </c>
    </row>
    <row r="15" spans="1:5" x14ac:dyDescent="0.3">
      <c r="A15" t="str">
        <f t="shared" si="0"/>
        <v>B0103-UPR HORTSYS</v>
      </c>
      <c r="B15" t="s">
        <v>349</v>
      </c>
      <c r="C15" t="s">
        <v>350</v>
      </c>
      <c r="D15" t="s">
        <v>239</v>
      </c>
    </row>
    <row r="16" spans="1:5" x14ac:dyDescent="0.3">
      <c r="A16" t="str">
        <f t="shared" si="0"/>
        <v>B0111-UMR Eco&amp;Sols</v>
      </c>
      <c r="B16" t="s">
        <v>351</v>
      </c>
      <c r="C16" t="s">
        <v>352</v>
      </c>
      <c r="D16" t="s">
        <v>239</v>
      </c>
    </row>
    <row r="17" spans="1:4" x14ac:dyDescent="0.3">
      <c r="A17" t="str">
        <f t="shared" si="0"/>
        <v>B0114-UPR BioWooEB</v>
      </c>
      <c r="B17" t="s">
        <v>353</v>
      </c>
      <c r="C17" t="s">
        <v>354</v>
      </c>
      <c r="D17" t="s">
        <v>239</v>
      </c>
    </row>
    <row r="18" spans="1:4" x14ac:dyDescent="0.3">
      <c r="A18" t="str">
        <f t="shared" si="0"/>
        <v>B0115-UPR AIDA</v>
      </c>
      <c r="B18" t="s">
        <v>508</v>
      </c>
      <c r="C18" t="s">
        <v>498</v>
      </c>
      <c r="D18" t="s">
        <v>239</v>
      </c>
    </row>
    <row r="19" spans="1:4" x14ac:dyDescent="0.3">
      <c r="A19" t="str">
        <f t="shared" si="0"/>
        <v>B0116-UMR ISEM</v>
      </c>
      <c r="B19" t="s">
        <v>514</v>
      </c>
      <c r="C19" t="s">
        <v>515</v>
      </c>
      <c r="D19" t="s">
        <v>239</v>
      </c>
    </row>
    <row r="20" spans="1:4" x14ac:dyDescent="0.3">
      <c r="A20" t="str">
        <f t="shared" si="0"/>
        <v>B0118-UMR ABSys</v>
      </c>
      <c r="B20" t="s">
        <v>1713</v>
      </c>
      <c r="C20" t="s">
        <v>1742</v>
      </c>
      <c r="D20" t="s">
        <v>239</v>
      </c>
    </row>
    <row r="21" spans="1:4" x14ac:dyDescent="0.3">
      <c r="A21" t="str">
        <f t="shared" si="0"/>
        <v>C0056-UMR CIRED</v>
      </c>
      <c r="B21" t="s">
        <v>355</v>
      </c>
      <c r="C21" t="s">
        <v>356</v>
      </c>
      <c r="D21" t="s">
        <v>238</v>
      </c>
    </row>
    <row r="22" spans="1:4" x14ac:dyDescent="0.3">
      <c r="A22" t="str">
        <f t="shared" si="0"/>
        <v>C0085-UMR Innovation</v>
      </c>
      <c r="B22" t="s">
        <v>357</v>
      </c>
      <c r="C22" t="s">
        <v>358</v>
      </c>
      <c r="D22" t="s">
        <v>238</v>
      </c>
    </row>
    <row r="23" spans="1:4" x14ac:dyDescent="0.3">
      <c r="A23" t="str">
        <f t="shared" si="0"/>
        <v>C0090-UMR G-EAU</v>
      </c>
      <c r="B23" t="s">
        <v>359</v>
      </c>
      <c r="C23" t="s">
        <v>360</v>
      </c>
      <c r="D23" t="s">
        <v>238</v>
      </c>
    </row>
    <row r="24" spans="1:4" x14ac:dyDescent="0.3">
      <c r="A24" t="str">
        <f t="shared" si="0"/>
        <v>C0091-UMR TETIS</v>
      </c>
      <c r="B24" t="s">
        <v>361</v>
      </c>
      <c r="C24" t="s">
        <v>362</v>
      </c>
      <c r="D24" t="s">
        <v>238</v>
      </c>
    </row>
    <row r="25" spans="1:4" x14ac:dyDescent="0.3">
      <c r="A25" t="str">
        <f t="shared" si="0"/>
        <v>C0093-UMR ECOFOG</v>
      </c>
      <c r="B25" t="s">
        <v>363</v>
      </c>
      <c r="C25" t="s">
        <v>364</v>
      </c>
      <c r="D25" t="s">
        <v>238</v>
      </c>
    </row>
    <row r="26" spans="1:4" x14ac:dyDescent="0.3">
      <c r="A26" t="str">
        <f t="shared" si="0"/>
        <v>C0099-UMR MOISA</v>
      </c>
      <c r="B26" t="s">
        <v>365</v>
      </c>
      <c r="C26" t="s">
        <v>366</v>
      </c>
      <c r="D26" t="s">
        <v>238</v>
      </c>
    </row>
    <row r="27" spans="1:4" x14ac:dyDescent="0.3">
      <c r="A27" t="str">
        <f t="shared" si="0"/>
        <v>C0105-UPR Forêts &amp; Sociétés</v>
      </c>
      <c r="B27" t="s">
        <v>367</v>
      </c>
      <c r="C27" t="s">
        <v>535</v>
      </c>
      <c r="D27" t="s">
        <v>238</v>
      </c>
    </row>
    <row r="28" spans="1:4" x14ac:dyDescent="0.3">
      <c r="A28" t="str">
        <f t="shared" si="0"/>
        <v>C0112-UMR SELMET</v>
      </c>
      <c r="B28" t="s">
        <v>368</v>
      </c>
      <c r="C28" t="s">
        <v>369</v>
      </c>
      <c r="D28" t="s">
        <v>238</v>
      </c>
    </row>
    <row r="29" spans="1:4" x14ac:dyDescent="0.3">
      <c r="A29" t="str">
        <f t="shared" si="0"/>
        <v>C0113-UMR ART-DEV</v>
      </c>
      <c r="B29" t="s">
        <v>370</v>
      </c>
      <c r="C29" t="s">
        <v>371</v>
      </c>
      <c r="D29" t="s">
        <v>238</v>
      </c>
    </row>
    <row r="30" spans="1:4" x14ac:dyDescent="0.3">
      <c r="A30" t="str">
        <f t="shared" si="0"/>
        <v>C0119-UMR SENS</v>
      </c>
      <c r="B30" t="s">
        <v>1714</v>
      </c>
      <c r="C30" t="s">
        <v>1715</v>
      </c>
      <c r="D30" t="s">
        <v>238</v>
      </c>
    </row>
    <row r="31" spans="1:4" x14ac:dyDescent="0.3">
      <c r="A31" t="str">
        <f t="shared" si="0"/>
        <v>D0950-Dg-saurs</v>
      </c>
      <c r="B31" t="s">
        <v>372</v>
      </c>
      <c r="C31" t="s">
        <v>373</v>
      </c>
      <c r="D31" t="s">
        <v>236</v>
      </c>
    </row>
    <row r="32" spans="1:4" x14ac:dyDescent="0.3">
      <c r="A32" t="str">
        <f t="shared" si="0"/>
        <v>D0958-Dg-évaluation</v>
      </c>
      <c r="B32" t="s">
        <v>374</v>
      </c>
      <c r="C32" t="s">
        <v>375</v>
      </c>
      <c r="D32" t="s">
        <v>236</v>
      </c>
    </row>
    <row r="33" spans="1:4" x14ac:dyDescent="0.3">
      <c r="A33" t="str">
        <f t="shared" si="0"/>
        <v>D0963-Dg-com</v>
      </c>
      <c r="B33" t="s">
        <v>376</v>
      </c>
      <c r="C33" t="s">
        <v>377</v>
      </c>
      <c r="D33" t="s">
        <v>236</v>
      </c>
    </row>
    <row r="34" spans="1:4" x14ac:dyDescent="0.3">
      <c r="A34" t="str">
        <f t="shared" si="0"/>
        <v>D0985-Dg</v>
      </c>
      <c r="B34" t="s">
        <v>378</v>
      </c>
      <c r="C34" t="s">
        <v>236</v>
      </c>
      <c r="D34" t="s">
        <v>236</v>
      </c>
    </row>
    <row r="35" spans="1:4" x14ac:dyDescent="0.3">
      <c r="A35" t="str">
        <f t="shared" si="0"/>
        <v>D1944-Dgdrd-dsi</v>
      </c>
      <c r="B35" t="s">
        <v>379</v>
      </c>
      <c r="C35" t="s">
        <v>380</v>
      </c>
      <c r="D35" t="s">
        <v>236</v>
      </c>
    </row>
    <row r="36" spans="1:4" x14ac:dyDescent="0.3">
      <c r="A36" t="str">
        <f t="shared" si="0"/>
        <v>D1945-Dgdrd-DR Réunion-Mayotte</v>
      </c>
      <c r="B36" t="s">
        <v>381</v>
      </c>
      <c r="C36" t="s">
        <v>382</v>
      </c>
      <c r="D36" t="s">
        <v>236</v>
      </c>
    </row>
    <row r="37" spans="1:4" x14ac:dyDescent="0.3">
      <c r="A37" t="str">
        <f t="shared" si="0"/>
        <v>D1946-Dgdrd-DR Antilles-Guyane</v>
      </c>
      <c r="B37" t="s">
        <v>383</v>
      </c>
      <c r="C37" t="s">
        <v>384</v>
      </c>
      <c r="D37" t="s">
        <v>236</v>
      </c>
    </row>
    <row r="38" spans="1:4" x14ac:dyDescent="0.3">
      <c r="A38" t="str">
        <f t="shared" si="0"/>
        <v>D1947-Dgdrd-DR Occitanie-Montpellier</v>
      </c>
      <c r="B38" t="s">
        <v>385</v>
      </c>
      <c r="C38" t="s">
        <v>531</v>
      </c>
      <c r="D38" t="s">
        <v>236</v>
      </c>
    </row>
    <row r="39" spans="1:4" x14ac:dyDescent="0.3">
      <c r="A39" t="str">
        <f t="shared" si="0"/>
        <v>D1948-Dgdrd-DR Ile de France</v>
      </c>
      <c r="B39" t="s">
        <v>386</v>
      </c>
      <c r="C39" t="s">
        <v>387</v>
      </c>
      <c r="D39" t="s">
        <v>236</v>
      </c>
    </row>
    <row r="40" spans="1:4" x14ac:dyDescent="0.3">
      <c r="A40" t="str">
        <f t="shared" si="0"/>
        <v>D1949-Dgdrd</v>
      </c>
      <c r="B40" t="s">
        <v>388</v>
      </c>
      <c r="C40" t="s">
        <v>389</v>
      </c>
      <c r="D40" t="s">
        <v>236</v>
      </c>
    </row>
    <row r="41" spans="1:4" x14ac:dyDescent="0.3">
      <c r="A41" t="str">
        <f t="shared" si="0"/>
        <v>D1954-Dgdrd-dcaf-saurs</v>
      </c>
      <c r="B41" t="s">
        <v>390</v>
      </c>
      <c r="C41" t="s">
        <v>391</v>
      </c>
      <c r="D41" t="s">
        <v>236</v>
      </c>
    </row>
    <row r="42" spans="1:4" x14ac:dyDescent="0.3">
      <c r="A42" t="str">
        <f t="shared" si="0"/>
        <v>D1974-Dgdrd-drh</v>
      </c>
      <c r="B42" t="s">
        <v>392</v>
      </c>
      <c r="C42" t="s">
        <v>393</v>
      </c>
      <c r="D42" t="s">
        <v>236</v>
      </c>
    </row>
    <row r="43" spans="1:4" x14ac:dyDescent="0.3">
      <c r="A43" t="str">
        <f t="shared" si="0"/>
        <v>D1975-Dgdrd-ditam</v>
      </c>
      <c r="B43" t="s">
        <v>394</v>
      </c>
      <c r="C43" t="s">
        <v>395</v>
      </c>
      <c r="D43" t="s">
        <v>236</v>
      </c>
    </row>
    <row r="44" spans="1:4" x14ac:dyDescent="0.3">
      <c r="A44" t="str">
        <f t="shared" si="0"/>
        <v>D1976-Dgdrd-dcaf</v>
      </c>
      <c r="B44" t="s">
        <v>396</v>
      </c>
      <c r="C44" t="s">
        <v>397</v>
      </c>
      <c r="D44" t="s">
        <v>236</v>
      </c>
    </row>
    <row r="45" spans="1:4" x14ac:dyDescent="0.3">
      <c r="A45" t="str">
        <f t="shared" si="0"/>
        <v>D2959-Dgdrs-dist</v>
      </c>
      <c r="B45" t="s">
        <v>398</v>
      </c>
      <c r="C45" t="s">
        <v>399</v>
      </c>
      <c r="D45" t="s">
        <v>236</v>
      </c>
    </row>
    <row r="46" spans="1:4" x14ac:dyDescent="0.3">
      <c r="A46" t="str">
        <f>$B46&amp;"-"&amp;$C46</f>
        <v>D2961-Dgdrs</v>
      </c>
      <c r="B46" t="s">
        <v>400</v>
      </c>
      <c r="C46" t="s">
        <v>401</v>
      </c>
      <c r="D46" t="s">
        <v>236</v>
      </c>
    </row>
    <row r="47" spans="1:4" x14ac:dyDescent="0.3">
      <c r="A47" t="str">
        <f t="shared" si="0"/>
        <v>D2962-Dgdrs-Dims</v>
      </c>
      <c r="B47" t="s">
        <v>552</v>
      </c>
      <c r="C47" t="s">
        <v>553</v>
      </c>
      <c r="D47" t="s">
        <v>236</v>
      </c>
    </row>
  </sheetData>
  <sheetProtection selectLockedCells="1"/>
  <sortState ref="B10:E70">
    <sortCondition ref="C10:C70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S55"/>
  <sheetViews>
    <sheetView topLeftCell="A7" zoomScaleNormal="100" workbookViewId="0">
      <selection activeCell="D32" sqref="D32"/>
    </sheetView>
  </sheetViews>
  <sheetFormatPr defaultColWidth="11.44140625" defaultRowHeight="14.4" x14ac:dyDescent="0.3"/>
  <cols>
    <col min="1" max="1" width="41" customWidth="1"/>
    <col min="2" max="2" width="12.33203125" customWidth="1"/>
    <col min="4" max="4" width="13.6640625" customWidth="1"/>
    <col min="10" max="10" width="32" bestFit="1" customWidth="1"/>
    <col min="12" max="12" width="43.109375" bestFit="1" customWidth="1"/>
  </cols>
  <sheetData>
    <row r="1" spans="1:19" x14ac:dyDescent="0.3">
      <c r="A1" s="146" t="s">
        <v>446</v>
      </c>
      <c r="D1" t="s">
        <v>1668</v>
      </c>
    </row>
    <row r="2" spans="1:19" x14ac:dyDescent="0.3">
      <c r="A2" s="147" t="s">
        <v>444</v>
      </c>
      <c r="B2" s="147">
        <f>IF(ODM!D25="",0,(ODM!G25-ODM!D25)+1)</f>
        <v>2</v>
      </c>
      <c r="D2">
        <f>IF(NDF!E22="",0,(NDF!H22-NDF!E22)+1)</f>
        <v>2</v>
      </c>
    </row>
    <row r="3" spans="1:19" x14ac:dyDescent="0.3">
      <c r="A3" s="147" t="s">
        <v>445</v>
      </c>
      <c r="B3" s="147">
        <f>IF(ODM!J25="",0,(ODM!M25-ODM!J25)+1)</f>
        <v>0</v>
      </c>
      <c r="D3">
        <f>IF(NDF!K22="",0,(NDF!N22-NDF!K22)+1)</f>
        <v>0</v>
      </c>
    </row>
    <row r="5" spans="1:19" x14ac:dyDescent="0.3">
      <c r="A5" s="148" t="s">
        <v>270</v>
      </c>
    </row>
    <row r="6" spans="1:19" x14ac:dyDescent="0.3">
      <c r="A6" s="149" t="s">
        <v>271</v>
      </c>
    </row>
    <row r="7" spans="1:19" x14ac:dyDescent="0.3">
      <c r="A7" s="149" t="s">
        <v>272</v>
      </c>
    </row>
    <row r="8" spans="1:19" x14ac:dyDescent="0.3">
      <c r="A8" s="149" t="s">
        <v>255</v>
      </c>
    </row>
    <row r="9" spans="1:19" x14ac:dyDescent="0.3">
      <c r="A9" s="149" t="s">
        <v>273</v>
      </c>
    </row>
    <row r="10" spans="1:19" x14ac:dyDescent="0.3">
      <c r="A10" s="150" t="s">
        <v>250</v>
      </c>
    </row>
    <row r="14" spans="1:19" x14ac:dyDescent="0.3">
      <c r="S14" t="str">
        <f>IF(D14="","",IF($F$7&lt;&gt;$L$7,0,IF($D14=$F$7,0,IF(VLOOKUP($AB$5,'autres ldv'!I48:K55,3,FALSE)="Non",0,VLOOKUP($D14,Pays!$A$1:$M$261,VLOOKUP($P$11,Pays!$A$1:$N$6,14,FALSE),FALSE)))))</f>
        <v/>
      </c>
    </row>
    <row r="15" spans="1:19" x14ac:dyDescent="0.3">
      <c r="A15" s="147" t="s">
        <v>241</v>
      </c>
    </row>
    <row r="16" spans="1:19" x14ac:dyDescent="0.3">
      <c r="A16" s="147" t="s">
        <v>14</v>
      </c>
    </row>
    <row r="18" spans="1:9" x14ac:dyDescent="0.3">
      <c r="A18" s="148" t="s">
        <v>13</v>
      </c>
    </row>
    <row r="19" spans="1:9" x14ac:dyDescent="0.3">
      <c r="A19" s="151" t="s">
        <v>242</v>
      </c>
      <c r="B19" s="152">
        <v>1</v>
      </c>
      <c r="H19" s="153"/>
      <c r="I19" s="153"/>
    </row>
    <row r="20" spans="1:9" x14ac:dyDescent="0.3">
      <c r="A20" s="154" t="s">
        <v>488</v>
      </c>
      <c r="B20" s="152">
        <v>0.5</v>
      </c>
      <c r="H20" s="153"/>
      <c r="I20" s="153"/>
    </row>
    <row r="21" spans="1:9" x14ac:dyDescent="0.3">
      <c r="A21" s="154" t="s">
        <v>510</v>
      </c>
      <c r="B21" s="152">
        <v>0.25</v>
      </c>
      <c r="D21" t="s">
        <v>489</v>
      </c>
      <c r="H21" s="153"/>
      <c r="I21" s="153"/>
    </row>
    <row r="22" spans="1:9" x14ac:dyDescent="0.3">
      <c r="H22" s="153"/>
      <c r="I22" s="153"/>
    </row>
    <row r="23" spans="1:9" x14ac:dyDescent="0.3">
      <c r="A23" s="148" t="s">
        <v>513</v>
      </c>
    </row>
    <row r="24" spans="1:9" x14ac:dyDescent="0.3">
      <c r="A24" s="147" t="s">
        <v>490</v>
      </c>
      <c r="B24" s="147">
        <v>22</v>
      </c>
    </row>
    <row r="25" spans="1:9" x14ac:dyDescent="0.3">
      <c r="A25" s="147" t="s">
        <v>276</v>
      </c>
      <c r="B25" s="147">
        <v>41</v>
      </c>
    </row>
    <row r="26" spans="1:9" x14ac:dyDescent="0.3">
      <c r="A26" s="147" t="s">
        <v>289</v>
      </c>
      <c r="B26" s="147"/>
    </row>
    <row r="27" spans="1:9" x14ac:dyDescent="0.3">
      <c r="A27" s="155" t="s">
        <v>511</v>
      </c>
    </row>
    <row r="28" spans="1:9" x14ac:dyDescent="0.3">
      <c r="A28" s="156" t="s">
        <v>284</v>
      </c>
      <c r="B28" s="157">
        <v>135</v>
      </c>
    </row>
    <row r="29" spans="1:9" x14ac:dyDescent="0.3">
      <c r="A29" s="156" t="s">
        <v>285</v>
      </c>
      <c r="B29" s="157">
        <v>105</v>
      </c>
    </row>
    <row r="30" spans="1:9" x14ac:dyDescent="0.3">
      <c r="A30" s="156" t="s">
        <v>286</v>
      </c>
      <c r="B30" s="157">
        <v>74.3</v>
      </c>
    </row>
    <row r="31" spans="1:9" x14ac:dyDescent="0.3">
      <c r="A31" s="156" t="s">
        <v>287</v>
      </c>
      <c r="B31" s="157">
        <v>55.1</v>
      </c>
    </row>
    <row r="32" spans="1:9" x14ac:dyDescent="0.3">
      <c r="A32" s="156" t="s">
        <v>288</v>
      </c>
      <c r="B32" s="157">
        <v>20.7</v>
      </c>
    </row>
    <row r="33" spans="1:14" x14ac:dyDescent="0.3">
      <c r="D33" s="156"/>
    </row>
    <row r="34" spans="1:14" x14ac:dyDescent="0.3">
      <c r="A34" t="s">
        <v>411</v>
      </c>
      <c r="B34" s="158">
        <v>0.49</v>
      </c>
      <c r="D34" s="156"/>
    </row>
    <row r="35" spans="1:14" x14ac:dyDescent="0.3">
      <c r="C35" s="159"/>
      <c r="D35" s="156"/>
    </row>
    <row r="36" spans="1:14" x14ac:dyDescent="0.3">
      <c r="A36" s="148" t="s">
        <v>512</v>
      </c>
    </row>
    <row r="37" spans="1:14" x14ac:dyDescent="0.3">
      <c r="A37" s="147" t="s">
        <v>432</v>
      </c>
      <c r="B37" s="147">
        <v>670</v>
      </c>
      <c r="D37" t="s">
        <v>525</v>
      </c>
    </row>
    <row r="38" spans="1:14" x14ac:dyDescent="0.3">
      <c r="A38" s="147" t="s">
        <v>433</v>
      </c>
      <c r="B38" s="147">
        <v>6.5</v>
      </c>
    </row>
    <row r="39" spans="1:14" x14ac:dyDescent="0.3">
      <c r="A39" s="147" t="s">
        <v>434</v>
      </c>
      <c r="B39" s="147">
        <v>2044.12</v>
      </c>
    </row>
    <row r="40" spans="1:14" x14ac:dyDescent="0.3">
      <c r="A40" s="147" t="s">
        <v>435</v>
      </c>
      <c r="B40" s="147">
        <v>2196</v>
      </c>
    </row>
    <row r="42" spans="1:14" x14ac:dyDescent="0.3">
      <c r="A42" s="207" t="s">
        <v>512</v>
      </c>
      <c r="B42" s="208"/>
    </row>
    <row r="43" spans="1:14" x14ac:dyDescent="0.3">
      <c r="A43" s="208" t="s">
        <v>432</v>
      </c>
      <c r="B43" s="208">
        <v>670</v>
      </c>
    </row>
    <row r="44" spans="1:14" x14ac:dyDescent="0.3">
      <c r="A44" s="208" t="s">
        <v>433</v>
      </c>
      <c r="B44" s="208">
        <v>6.5</v>
      </c>
    </row>
    <row r="45" spans="1:14" x14ac:dyDescent="0.3">
      <c r="A45" s="208" t="s">
        <v>434</v>
      </c>
      <c r="B45" s="208">
        <v>2044.12</v>
      </c>
      <c r="C45" t="s">
        <v>903</v>
      </c>
      <c r="D45" t="s">
        <v>1754</v>
      </c>
    </row>
    <row r="46" spans="1:14" x14ac:dyDescent="0.3">
      <c r="A46" s="208" t="s">
        <v>435</v>
      </c>
      <c r="B46" s="208">
        <v>2196</v>
      </c>
      <c r="C46" t="s">
        <v>903</v>
      </c>
      <c r="D46" t="s">
        <v>1754</v>
      </c>
    </row>
    <row r="47" spans="1:14" x14ac:dyDescent="0.3">
      <c r="I47" s="282" t="s">
        <v>902</v>
      </c>
      <c r="J47" s="282" t="s">
        <v>254</v>
      </c>
      <c r="K47" s="282" t="s">
        <v>764</v>
      </c>
      <c r="L47" s="282" t="s">
        <v>578</v>
      </c>
      <c r="M47" s="282" t="s">
        <v>1549</v>
      </c>
      <c r="N47" s="282" t="s">
        <v>1755</v>
      </c>
    </row>
    <row r="48" spans="1:14" x14ac:dyDescent="0.3">
      <c r="A48" s="185"/>
      <c r="B48" s="185"/>
      <c r="C48" s="187"/>
      <c r="D48" s="188"/>
      <c r="I48" t="s">
        <v>905</v>
      </c>
      <c r="J48" t="s">
        <v>1711</v>
      </c>
      <c r="K48" t="s">
        <v>241</v>
      </c>
      <c r="M48" t="s">
        <v>905</v>
      </c>
      <c r="N48">
        <v>143</v>
      </c>
    </row>
    <row r="49" spans="1:14" x14ac:dyDescent="0.3">
      <c r="A49" s="185"/>
      <c r="B49" s="185"/>
      <c r="C49" s="187"/>
      <c r="D49" s="188"/>
      <c r="I49" t="s">
        <v>1710</v>
      </c>
      <c r="J49" t="s">
        <v>1756</v>
      </c>
      <c r="K49" t="s">
        <v>241</v>
      </c>
      <c r="L49" s="186" t="s">
        <v>907</v>
      </c>
      <c r="M49" t="s">
        <v>1710</v>
      </c>
      <c r="N49">
        <v>165</v>
      </c>
    </row>
    <row r="50" spans="1:14" x14ac:dyDescent="0.3">
      <c r="A50" s="185"/>
      <c r="B50" s="185"/>
      <c r="C50" s="187"/>
      <c r="D50" s="188"/>
      <c r="I50" t="s">
        <v>904</v>
      </c>
      <c r="J50" t="s">
        <v>1712</v>
      </c>
      <c r="K50" t="s">
        <v>14</v>
      </c>
      <c r="M50" t="s">
        <v>904</v>
      </c>
      <c r="N50">
        <v>165</v>
      </c>
    </row>
    <row r="51" spans="1:14" x14ac:dyDescent="0.3">
      <c r="A51" s="185"/>
      <c r="B51" s="185"/>
      <c r="C51" s="187"/>
      <c r="I51" t="s">
        <v>908</v>
      </c>
      <c r="J51" t="s">
        <v>909</v>
      </c>
      <c r="K51" t="s">
        <v>14</v>
      </c>
      <c r="M51" t="s">
        <v>908</v>
      </c>
      <c r="N51">
        <v>165</v>
      </c>
    </row>
    <row r="52" spans="1:14" x14ac:dyDescent="0.3">
      <c r="A52" s="185"/>
      <c r="B52" s="185"/>
      <c r="C52" s="187"/>
      <c r="I52" t="s">
        <v>903</v>
      </c>
      <c r="J52" t="s">
        <v>1757</v>
      </c>
      <c r="K52" t="s">
        <v>241</v>
      </c>
      <c r="M52" t="s">
        <v>903</v>
      </c>
      <c r="N52">
        <v>200</v>
      </c>
    </row>
    <row r="53" spans="1:14" x14ac:dyDescent="0.3">
      <c r="A53" s="185"/>
      <c r="B53" s="185"/>
      <c r="C53" s="187"/>
      <c r="D53" s="188"/>
      <c r="I53" t="s">
        <v>758</v>
      </c>
      <c r="J53" t="s">
        <v>1758</v>
      </c>
      <c r="K53" t="s">
        <v>14</v>
      </c>
      <c r="M53" t="s">
        <v>758</v>
      </c>
      <c r="N53">
        <v>175</v>
      </c>
    </row>
    <row r="54" spans="1:14" x14ac:dyDescent="0.3">
      <c r="I54" t="s">
        <v>910</v>
      </c>
      <c r="J54" t="s">
        <v>1759</v>
      </c>
      <c r="K54" t="s">
        <v>14</v>
      </c>
      <c r="L54" s="186" t="s">
        <v>906</v>
      </c>
      <c r="M54" t="s">
        <v>910</v>
      </c>
      <c r="N54">
        <v>199</v>
      </c>
    </row>
    <row r="55" spans="1:14" x14ac:dyDescent="0.3">
      <c r="I55" t="s">
        <v>1760</v>
      </c>
      <c r="J55" t="s">
        <v>1761</v>
      </c>
      <c r="K55" t="s">
        <v>241</v>
      </c>
      <c r="M55" t="s">
        <v>1760</v>
      </c>
      <c r="N55">
        <v>178</v>
      </c>
    </row>
  </sheetData>
  <sheetProtection algorithmName="SHA-512" hashValue="x5NlohVyF6e2Ud5rg2BV5lf9fMMu3vsGKxvo79PROED5CkOsK8wjWozbQZBQuRxC81YM9wP6v3B02eqNOrcK+Q==" saltValue="1UrKgiF4cz5KKl2EaVp8YQ==" spinCount="100000" sheet="1" selectLockedCells="1"/>
  <pageMargins left="0.7" right="0.7" top="0.75" bottom="0.75" header="0.3" footer="0.3"/>
  <pageSetup paperSize="9" scale="58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29"/>
  <sheetViews>
    <sheetView zoomScale="85" zoomScaleNormal="85" workbookViewId="0"/>
  </sheetViews>
  <sheetFormatPr defaultColWidth="11.44140625" defaultRowHeight="14.4" x14ac:dyDescent="0.3"/>
  <cols>
    <col min="1" max="1" width="14.44140625" bestFit="1" customWidth="1"/>
    <col min="2" max="2" width="51.88671875" bestFit="1" customWidth="1"/>
    <col min="3" max="3" width="59.109375" bestFit="1" customWidth="1"/>
  </cols>
  <sheetData>
    <row r="1" spans="1:9" x14ac:dyDescent="0.3">
      <c r="A1" s="195" t="s">
        <v>917</v>
      </c>
      <c r="B1" s="195" t="s">
        <v>918</v>
      </c>
      <c r="C1" s="195" t="s">
        <v>919</v>
      </c>
      <c r="D1" s="195" t="s">
        <v>917</v>
      </c>
      <c r="H1" t="s">
        <v>1537</v>
      </c>
      <c r="I1" t="s">
        <v>1538</v>
      </c>
    </row>
    <row r="2" spans="1:9" x14ac:dyDescent="0.3">
      <c r="A2" t="s">
        <v>920</v>
      </c>
      <c r="B2" t="s">
        <v>1629</v>
      </c>
      <c r="C2" t="str">
        <f t="shared" ref="C2:C35" si="0">A2&amp;"-"&amp;B2</f>
        <v xml:space="preserve">A01700-INTERTRYP </v>
      </c>
      <c r="D2" s="196" t="str">
        <f t="shared" ref="D2:D35" si="1">A2</f>
        <v>A01700</v>
      </c>
      <c r="H2" t="s">
        <v>1539</v>
      </c>
      <c r="I2" t="s">
        <v>237</v>
      </c>
    </row>
    <row r="3" spans="1:9" x14ac:dyDescent="0.3">
      <c r="A3" t="s">
        <v>921</v>
      </c>
      <c r="B3" t="s">
        <v>1630</v>
      </c>
      <c r="C3" t="str">
        <f t="shared" si="0"/>
        <v xml:space="preserve">A05100-AMAP </v>
      </c>
      <c r="D3" s="196" t="str">
        <f t="shared" si="1"/>
        <v>A05100</v>
      </c>
      <c r="H3" t="s">
        <v>1540</v>
      </c>
      <c r="I3" t="s">
        <v>239</v>
      </c>
    </row>
    <row r="4" spans="1:9" x14ac:dyDescent="0.3">
      <c r="A4" t="s">
        <v>922</v>
      </c>
      <c r="B4" t="s">
        <v>1631</v>
      </c>
      <c r="C4" t="str">
        <f t="shared" si="0"/>
        <v>A05300-PVBMT</v>
      </c>
      <c r="D4" s="196" t="str">
        <f t="shared" si="1"/>
        <v>A05300</v>
      </c>
      <c r="H4" t="s">
        <v>1541</v>
      </c>
      <c r="I4" t="s">
        <v>238</v>
      </c>
    </row>
    <row r="5" spans="1:9" x14ac:dyDescent="0.3">
      <c r="A5" t="s">
        <v>923</v>
      </c>
      <c r="B5" t="s">
        <v>1632</v>
      </c>
      <c r="C5" t="str">
        <f t="shared" si="0"/>
        <v>A05500-CBGP</v>
      </c>
      <c r="D5" s="196" t="str">
        <f t="shared" si="1"/>
        <v>A05500</v>
      </c>
      <c r="H5" t="s">
        <v>1542</v>
      </c>
      <c r="I5" t="s">
        <v>236</v>
      </c>
    </row>
    <row r="6" spans="1:9" x14ac:dyDescent="0.3">
      <c r="A6" t="s">
        <v>924</v>
      </c>
      <c r="B6" t="s">
        <v>1633</v>
      </c>
      <c r="C6" t="str">
        <f t="shared" si="0"/>
        <v>A10000-DIADE</v>
      </c>
      <c r="D6" s="196" t="str">
        <f t="shared" si="1"/>
        <v>A10000</v>
      </c>
    </row>
    <row r="7" spans="1:9" x14ac:dyDescent="0.3">
      <c r="A7" s="242" t="s">
        <v>925</v>
      </c>
      <c r="B7" s="242" t="s">
        <v>1634</v>
      </c>
      <c r="C7" t="str">
        <f t="shared" si="0"/>
        <v>A10800-AGAP - Management - Animation</v>
      </c>
      <c r="D7" s="196" t="str">
        <f t="shared" si="1"/>
        <v>A10800</v>
      </c>
    </row>
    <row r="8" spans="1:9" x14ac:dyDescent="0.3">
      <c r="A8" s="242" t="s">
        <v>926</v>
      </c>
      <c r="B8" s="242" t="s">
        <v>1635</v>
      </c>
      <c r="C8" t="str">
        <f t="shared" si="0"/>
        <v>A10802-AGAP - AFEF</v>
      </c>
      <c r="D8" s="196" t="str">
        <f t="shared" si="1"/>
        <v>A10802</v>
      </c>
    </row>
    <row r="9" spans="1:9" x14ac:dyDescent="0.3">
      <c r="A9" s="242" t="s">
        <v>927</v>
      </c>
      <c r="B9" s="242" t="s">
        <v>1765</v>
      </c>
      <c r="C9" t="str">
        <f t="shared" si="0"/>
        <v>A10803-AGAP - BISSAPP</v>
      </c>
      <c r="D9" s="196" t="str">
        <f t="shared" si="1"/>
        <v>A10803</v>
      </c>
    </row>
    <row r="10" spans="1:9" x14ac:dyDescent="0.3">
      <c r="A10" s="242" t="s">
        <v>928</v>
      </c>
      <c r="B10" s="242" t="s">
        <v>1735</v>
      </c>
      <c r="C10" t="str">
        <f t="shared" si="0"/>
        <v>A10804-AGAP - DARS</v>
      </c>
      <c r="D10" s="196" t="str">
        <f t="shared" si="1"/>
        <v>A10804</v>
      </c>
    </row>
    <row r="11" spans="1:9" x14ac:dyDescent="0.3">
      <c r="A11" s="242" t="s">
        <v>929</v>
      </c>
      <c r="B11" s="242" t="s">
        <v>1636</v>
      </c>
      <c r="C11" t="str">
        <f t="shared" si="0"/>
        <v>A10805-AGAP - DAAV</v>
      </c>
      <c r="D11" s="196" t="str">
        <f t="shared" si="1"/>
        <v>A10805</v>
      </c>
    </row>
    <row r="12" spans="1:9" x14ac:dyDescent="0.3">
      <c r="A12" s="242" t="s">
        <v>930</v>
      </c>
      <c r="B12" s="242" t="s">
        <v>1637</v>
      </c>
      <c r="C12" t="str">
        <f t="shared" si="0"/>
        <v>A10806-AGAP - DDSE</v>
      </c>
      <c r="D12" s="196" t="str">
        <f t="shared" si="1"/>
        <v>A10806</v>
      </c>
    </row>
    <row r="13" spans="1:9" x14ac:dyDescent="0.3">
      <c r="A13" s="242" t="s">
        <v>931</v>
      </c>
      <c r="B13" s="242" t="s">
        <v>1638</v>
      </c>
      <c r="C13" t="str">
        <f t="shared" si="0"/>
        <v>A10807-AGAP - GIV</v>
      </c>
      <c r="D13" s="196" t="str">
        <f t="shared" si="1"/>
        <v>A10807</v>
      </c>
    </row>
    <row r="14" spans="1:9" x14ac:dyDescent="0.3">
      <c r="A14" s="242" t="s">
        <v>932</v>
      </c>
      <c r="B14" s="242" t="s">
        <v>1736</v>
      </c>
      <c r="C14" t="str">
        <f t="shared" si="0"/>
        <v>A10808-AGAP - GSP</v>
      </c>
      <c r="D14" s="196" t="str">
        <f t="shared" si="1"/>
        <v>A10808</v>
      </c>
    </row>
    <row r="15" spans="1:9" x14ac:dyDescent="0.3">
      <c r="A15" s="242" t="s">
        <v>933</v>
      </c>
      <c r="B15" s="242" t="s">
        <v>1639</v>
      </c>
      <c r="C15" t="str">
        <f t="shared" si="0"/>
        <v>A10809-AGAP - GE²pop</v>
      </c>
      <c r="D15" s="196" t="str">
        <f t="shared" si="1"/>
        <v>A10809</v>
      </c>
    </row>
    <row r="16" spans="1:9" x14ac:dyDescent="0.3">
      <c r="A16" s="242" t="s">
        <v>934</v>
      </c>
      <c r="B16" s="242" t="s">
        <v>1640</v>
      </c>
      <c r="C16" t="str">
        <f t="shared" si="0"/>
        <v>A10812-AGAP - SEG</v>
      </c>
      <c r="D16" s="196" t="str">
        <f t="shared" si="1"/>
        <v>A10812</v>
      </c>
    </row>
    <row r="17" spans="1:4" x14ac:dyDescent="0.3">
      <c r="A17" s="242" t="s">
        <v>935</v>
      </c>
      <c r="B17" s="242" t="s">
        <v>1641</v>
      </c>
      <c r="C17" t="str">
        <f t="shared" si="0"/>
        <v>A10817-AGAP - GABA</v>
      </c>
      <c r="D17" s="196" t="str">
        <f t="shared" si="1"/>
        <v>A10817</v>
      </c>
    </row>
    <row r="18" spans="1:4" x14ac:dyDescent="0.3">
      <c r="A18" s="242" t="s">
        <v>936</v>
      </c>
      <c r="B18" s="242" t="s">
        <v>1642</v>
      </c>
      <c r="C18" t="str">
        <f t="shared" si="0"/>
        <v>A10818-AGAP - SEAPAG</v>
      </c>
      <c r="D18" s="196" t="str">
        <f t="shared" si="1"/>
        <v>A10818</v>
      </c>
    </row>
    <row r="19" spans="1:4" x14ac:dyDescent="0.3">
      <c r="A19" s="242" t="s">
        <v>1643</v>
      </c>
      <c r="B19" s="242" t="s">
        <v>1644</v>
      </c>
      <c r="C19" t="str">
        <f t="shared" si="0"/>
        <v>A10821-AGAP - PhenoMEn</v>
      </c>
      <c r="D19" s="196" t="str">
        <f t="shared" si="1"/>
        <v>A10821</v>
      </c>
    </row>
    <row r="20" spans="1:4" x14ac:dyDescent="0.3">
      <c r="A20" s="242" t="s">
        <v>1737</v>
      </c>
      <c r="B20" s="242" t="s">
        <v>1738</v>
      </c>
      <c r="C20" t="str">
        <f>A20&amp;"-"&amp;B20</f>
        <v>A10822-AGAP - DEFI</v>
      </c>
      <c r="D20" s="196" t="str">
        <f>A20</f>
        <v>A10822</v>
      </c>
    </row>
    <row r="21" spans="1:4" x14ac:dyDescent="0.3">
      <c r="A21" s="242" t="s">
        <v>1749</v>
      </c>
      <c r="B21" s="242" t="s">
        <v>1750</v>
      </c>
      <c r="C21" t="str">
        <f>A21&amp;"-"&amp;B21</f>
        <v>A10823-AGAP - OCR</v>
      </c>
      <c r="D21" s="196" t="str">
        <f>A21</f>
        <v>A10823</v>
      </c>
    </row>
    <row r="22" spans="1:4" x14ac:dyDescent="0.3">
      <c r="A22" t="s">
        <v>937</v>
      </c>
      <c r="B22" t="s">
        <v>1645</v>
      </c>
      <c r="C22" t="str">
        <f t="shared" si="0"/>
        <v>A11700-ASTRE</v>
      </c>
      <c r="D22" s="196" t="str">
        <f t="shared" si="1"/>
        <v>A11700</v>
      </c>
    </row>
    <row r="23" spans="1:4" x14ac:dyDescent="0.3">
      <c r="A23" t="s">
        <v>1718</v>
      </c>
      <c r="B23" t="s">
        <v>1719</v>
      </c>
      <c r="C23" t="str">
        <f t="shared" ref="C23" si="2">A23&amp;"-"&amp;B23</f>
        <v>A12000-PHIM - Management - Animation</v>
      </c>
      <c r="D23" s="196" t="str">
        <f t="shared" ref="D23" si="3">A23</f>
        <v>A12000</v>
      </c>
    </row>
    <row r="24" spans="1:4" x14ac:dyDescent="0.3">
      <c r="A24" t="s">
        <v>1720</v>
      </c>
      <c r="B24" t="s">
        <v>1721</v>
      </c>
      <c r="C24" t="str">
        <f t="shared" ref="C24:C25" si="4">A24&amp;"-"&amp;B24</f>
        <v>A12001-PHIM - ITEM</v>
      </c>
      <c r="D24" s="196" t="str">
        <f t="shared" ref="D24:D25" si="5">A24</f>
        <v>A12001</v>
      </c>
    </row>
    <row r="25" spans="1:4" x14ac:dyDescent="0.3">
      <c r="A25" t="s">
        <v>1722</v>
      </c>
      <c r="B25" t="s">
        <v>1725</v>
      </c>
      <c r="C25" t="str">
        <f t="shared" si="4"/>
        <v>A12002-PHIM - PHYTOBIOM</v>
      </c>
      <c r="D25" s="196" t="str">
        <f t="shared" si="5"/>
        <v>A12002</v>
      </c>
    </row>
    <row r="26" spans="1:4" x14ac:dyDescent="0.3">
      <c r="A26" t="s">
        <v>1723</v>
      </c>
      <c r="B26" t="s">
        <v>1726</v>
      </c>
      <c r="C26" t="str">
        <f t="shared" ref="C26" si="6">A26&amp;"-"&amp;B26</f>
        <v>A12003-PHIM - PRISM</v>
      </c>
      <c r="D26" s="196" t="str">
        <f t="shared" ref="D26" si="7">A26</f>
        <v>A12003</v>
      </c>
    </row>
    <row r="27" spans="1:4" x14ac:dyDescent="0.3">
      <c r="A27" t="s">
        <v>1724</v>
      </c>
      <c r="B27" t="s">
        <v>1727</v>
      </c>
      <c r="C27" t="str">
        <f t="shared" ref="C27" si="8">A27&amp;"-"&amp;B27</f>
        <v>A12004-PHIM - VIROM</v>
      </c>
      <c r="D27" s="196" t="str">
        <f t="shared" ref="D27" si="9">A27</f>
        <v>A12004</v>
      </c>
    </row>
    <row r="28" spans="1:4" x14ac:dyDescent="0.3">
      <c r="A28" t="s">
        <v>938</v>
      </c>
      <c r="B28" t="s">
        <v>1646</v>
      </c>
      <c r="C28" t="str">
        <f t="shared" si="0"/>
        <v>B02600-GECO</v>
      </c>
      <c r="D28" s="196" t="str">
        <f t="shared" si="1"/>
        <v>B02600</v>
      </c>
    </row>
    <row r="29" spans="1:4" x14ac:dyDescent="0.3">
      <c r="A29" t="s">
        <v>939</v>
      </c>
      <c r="B29" t="s">
        <v>1647</v>
      </c>
      <c r="C29" t="str">
        <f t="shared" si="0"/>
        <v>B04900-Analyses</v>
      </c>
      <c r="D29" s="196" t="str">
        <f t="shared" si="1"/>
        <v>B04900</v>
      </c>
    </row>
    <row r="30" spans="1:4" x14ac:dyDescent="0.3">
      <c r="A30" t="s">
        <v>940</v>
      </c>
      <c r="B30" t="s">
        <v>1648</v>
      </c>
      <c r="C30" t="str">
        <f t="shared" si="0"/>
        <v>B07800-Recyclage et risque</v>
      </c>
      <c r="D30" s="196" t="str">
        <f t="shared" si="1"/>
        <v>B07800</v>
      </c>
    </row>
    <row r="31" spans="1:4" x14ac:dyDescent="0.3">
      <c r="A31" t="s">
        <v>941</v>
      </c>
      <c r="B31" t="s">
        <v>1728</v>
      </c>
      <c r="C31" t="str">
        <f t="shared" si="0"/>
        <v>B09500-QUALISUD - Management - Animation</v>
      </c>
      <c r="D31" s="196" t="str">
        <f t="shared" si="1"/>
        <v>B09500</v>
      </c>
    </row>
    <row r="32" spans="1:4" x14ac:dyDescent="0.3">
      <c r="A32" t="s">
        <v>1729</v>
      </c>
      <c r="B32" t="s">
        <v>1732</v>
      </c>
      <c r="C32" t="str">
        <f t="shared" ref="C32:C33" si="10">A32&amp;"-"&amp;B32</f>
        <v>B09501-QUALISUD - Fonctionnalités sensorielles des aliments</v>
      </c>
      <c r="D32" s="196" t="str">
        <f t="shared" ref="D32:D33" si="11">A32</f>
        <v>B09501</v>
      </c>
    </row>
    <row r="33" spans="1:4" x14ac:dyDescent="0.3">
      <c r="A33" t="s">
        <v>1730</v>
      </c>
      <c r="B33" t="s">
        <v>1733</v>
      </c>
      <c r="C33" t="str">
        <f t="shared" si="10"/>
        <v>B09502-QUALISUD - Communautés microbiennes et sûreté des aliments</v>
      </c>
      <c r="D33" s="196" t="str">
        <f t="shared" si="11"/>
        <v>B09502</v>
      </c>
    </row>
    <row r="34" spans="1:4" x14ac:dyDescent="0.3">
      <c r="A34" t="s">
        <v>1731</v>
      </c>
      <c r="B34" t="s">
        <v>1734</v>
      </c>
      <c r="C34" t="str">
        <f t="shared" ref="C34" si="12">A34&amp;"-"&amp;B34</f>
        <v>B09503-QUALISUD - Ingénierie des produits et procédés durables</v>
      </c>
      <c r="D34" s="196" t="str">
        <f t="shared" ref="D34" si="13">A34</f>
        <v>B09503</v>
      </c>
    </row>
    <row r="35" spans="1:4" x14ac:dyDescent="0.3">
      <c r="A35" t="s">
        <v>942</v>
      </c>
      <c r="B35" t="s">
        <v>1649</v>
      </c>
      <c r="C35" t="str">
        <f t="shared" si="0"/>
        <v xml:space="preserve">B10300-HORTSYS </v>
      </c>
      <c r="D35" s="196" t="str">
        <f t="shared" si="1"/>
        <v>B10300</v>
      </c>
    </row>
    <row r="36" spans="1:4" x14ac:dyDescent="0.3">
      <c r="A36" t="s">
        <v>943</v>
      </c>
      <c r="B36" t="s">
        <v>1650</v>
      </c>
      <c r="C36" t="str">
        <f t="shared" ref="C36:C68" si="14">A36&amp;"-"&amp;B36</f>
        <v xml:space="preserve">B11100-ECO&amp;SOLS </v>
      </c>
      <c r="D36" s="196" t="str">
        <f t="shared" ref="D36:D68" si="15">A36</f>
        <v>B11100</v>
      </c>
    </row>
    <row r="37" spans="1:4" x14ac:dyDescent="0.3">
      <c r="A37" t="s">
        <v>944</v>
      </c>
      <c r="B37" t="s">
        <v>1651</v>
      </c>
      <c r="C37" t="str">
        <f t="shared" si="14"/>
        <v>B11400-BioWooEB</v>
      </c>
      <c r="D37" s="196" t="str">
        <f t="shared" si="15"/>
        <v>B11400</v>
      </c>
    </row>
    <row r="38" spans="1:4" x14ac:dyDescent="0.3">
      <c r="A38" s="242" t="s">
        <v>945</v>
      </c>
      <c r="B38" s="242" t="s">
        <v>1652</v>
      </c>
      <c r="C38" t="str">
        <f t="shared" si="14"/>
        <v>B11500-AIDA - Management - Animation</v>
      </c>
      <c r="D38" s="196" t="str">
        <f t="shared" si="15"/>
        <v>B11500</v>
      </c>
    </row>
    <row r="39" spans="1:4" x14ac:dyDescent="0.3">
      <c r="A39" s="242" t="s">
        <v>1653</v>
      </c>
      <c r="B39" s="242" t="s">
        <v>1654</v>
      </c>
      <c r="C39" t="str">
        <f t="shared" si="14"/>
        <v>B11506-AIDA - Prose</v>
      </c>
      <c r="D39" s="196" t="str">
        <f t="shared" si="15"/>
        <v>B11506</v>
      </c>
    </row>
    <row r="40" spans="1:4" x14ac:dyDescent="0.3">
      <c r="A40" s="242" t="s">
        <v>1655</v>
      </c>
      <c r="B40" s="242" t="s">
        <v>1696</v>
      </c>
      <c r="C40" t="str">
        <f t="shared" si="14"/>
        <v>B11507-AIDA - Estime</v>
      </c>
      <c r="D40" s="196" t="str">
        <f t="shared" si="15"/>
        <v>B11507</v>
      </c>
    </row>
    <row r="41" spans="1:4" x14ac:dyDescent="0.3">
      <c r="A41" s="242" t="s">
        <v>1656</v>
      </c>
      <c r="B41" s="242" t="s">
        <v>1697</v>
      </c>
      <c r="C41" t="str">
        <f t="shared" si="14"/>
        <v>B11508-AIDA - Tapage</v>
      </c>
      <c r="D41" s="196" t="str">
        <f t="shared" si="15"/>
        <v>B11508</v>
      </c>
    </row>
    <row r="42" spans="1:4" x14ac:dyDescent="0.3">
      <c r="A42" t="s">
        <v>946</v>
      </c>
      <c r="B42" t="s">
        <v>1657</v>
      </c>
      <c r="C42" t="str">
        <f t="shared" si="14"/>
        <v xml:space="preserve">B11600-ISEM </v>
      </c>
      <c r="D42" s="196" t="str">
        <f t="shared" si="15"/>
        <v>B11600</v>
      </c>
    </row>
    <row r="43" spans="1:4" x14ac:dyDescent="0.3">
      <c r="A43" t="s">
        <v>1739</v>
      </c>
      <c r="B43" t="s">
        <v>1743</v>
      </c>
      <c r="C43" t="str">
        <f t="shared" ref="C43" si="16">A43&amp;"-"&amp;B43</f>
        <v>B11800-ABSys</v>
      </c>
      <c r="D43" s="196" t="str">
        <f t="shared" ref="D43" si="17">A43</f>
        <v>B11800</v>
      </c>
    </row>
    <row r="44" spans="1:4" x14ac:dyDescent="0.3">
      <c r="A44" t="s">
        <v>947</v>
      </c>
      <c r="B44" t="s">
        <v>1658</v>
      </c>
      <c r="C44" t="str">
        <f t="shared" si="14"/>
        <v xml:space="preserve">C05600-CIRED </v>
      </c>
      <c r="D44" s="196" t="str">
        <f t="shared" si="15"/>
        <v>C05600</v>
      </c>
    </row>
    <row r="45" spans="1:4" x14ac:dyDescent="0.3">
      <c r="A45" s="242" t="s">
        <v>948</v>
      </c>
      <c r="B45" s="242" t="s">
        <v>1659</v>
      </c>
      <c r="C45" t="str">
        <f t="shared" si="14"/>
        <v>C08500-INNOVATION</v>
      </c>
      <c r="D45" s="196" t="str">
        <f t="shared" si="15"/>
        <v>C08500</v>
      </c>
    </row>
    <row r="46" spans="1:4" x14ac:dyDescent="0.3">
      <c r="A46" t="s">
        <v>949</v>
      </c>
      <c r="B46" t="s">
        <v>1660</v>
      </c>
      <c r="C46" t="str">
        <f t="shared" si="14"/>
        <v xml:space="preserve">C09000-G-EAU </v>
      </c>
      <c r="D46" s="196" t="str">
        <f t="shared" si="15"/>
        <v>C09000</v>
      </c>
    </row>
    <row r="47" spans="1:4" x14ac:dyDescent="0.3">
      <c r="A47" t="s">
        <v>950</v>
      </c>
      <c r="B47" t="s">
        <v>1661</v>
      </c>
      <c r="C47" t="str">
        <f t="shared" si="14"/>
        <v xml:space="preserve">C09100-TETIS </v>
      </c>
      <c r="D47" s="196" t="str">
        <f t="shared" si="15"/>
        <v>C09100</v>
      </c>
    </row>
    <row r="48" spans="1:4" x14ac:dyDescent="0.3">
      <c r="A48" t="s">
        <v>951</v>
      </c>
      <c r="B48" t="s">
        <v>1662</v>
      </c>
      <c r="C48" t="str">
        <f t="shared" si="14"/>
        <v xml:space="preserve">C09300-Ecofog </v>
      </c>
      <c r="D48" s="196" t="str">
        <f t="shared" si="15"/>
        <v>C09300</v>
      </c>
    </row>
    <row r="49" spans="1:4" x14ac:dyDescent="0.3">
      <c r="A49" t="s">
        <v>952</v>
      </c>
      <c r="B49" t="s">
        <v>1663</v>
      </c>
      <c r="C49" t="str">
        <f t="shared" si="14"/>
        <v xml:space="preserve">C09900-MOISA </v>
      </c>
      <c r="D49" s="196" t="str">
        <f t="shared" si="15"/>
        <v>C09900</v>
      </c>
    </row>
    <row r="50" spans="1:4" x14ac:dyDescent="0.3">
      <c r="A50" t="s">
        <v>953</v>
      </c>
      <c r="B50" s="242" t="s">
        <v>1664</v>
      </c>
      <c r="C50" t="str">
        <f t="shared" si="14"/>
        <v xml:space="preserve">C10500-FORÊTS ET SOCIETES </v>
      </c>
      <c r="D50" s="196" t="str">
        <f t="shared" si="15"/>
        <v>C10500</v>
      </c>
    </row>
    <row r="51" spans="1:4" x14ac:dyDescent="0.3">
      <c r="A51" s="242" t="s">
        <v>954</v>
      </c>
      <c r="B51" s="242" t="s">
        <v>1665</v>
      </c>
      <c r="C51" t="str">
        <f t="shared" si="14"/>
        <v>C11200-SELMET</v>
      </c>
      <c r="D51" s="196" t="str">
        <f t="shared" si="15"/>
        <v>C11200</v>
      </c>
    </row>
    <row r="52" spans="1:4" x14ac:dyDescent="0.3">
      <c r="A52" t="s">
        <v>955</v>
      </c>
      <c r="B52" t="s">
        <v>1666</v>
      </c>
      <c r="C52" t="str">
        <f t="shared" si="14"/>
        <v>C11300-ART-DEV</v>
      </c>
      <c r="D52" s="196" t="str">
        <f t="shared" si="15"/>
        <v>C11300</v>
      </c>
    </row>
    <row r="53" spans="1:4" x14ac:dyDescent="0.3">
      <c r="A53" t="s">
        <v>1740</v>
      </c>
      <c r="B53" t="s">
        <v>1741</v>
      </c>
      <c r="C53" t="str">
        <f t="shared" ref="C53" si="18">A53&amp;"-"&amp;B53</f>
        <v>C11900-SENS</v>
      </c>
      <c r="D53" s="196" t="str">
        <f t="shared" ref="D53" si="19">A53</f>
        <v>C11900</v>
      </c>
    </row>
    <row r="54" spans="1:4" x14ac:dyDescent="0.3">
      <c r="A54" t="s">
        <v>956</v>
      </c>
      <c r="B54" t="s">
        <v>957</v>
      </c>
      <c r="C54" t="str">
        <f t="shared" si="14"/>
        <v>D94400-DSI</v>
      </c>
      <c r="D54" s="196" t="str">
        <f t="shared" si="15"/>
        <v>D94400</v>
      </c>
    </row>
    <row r="55" spans="1:4" x14ac:dyDescent="0.3">
      <c r="A55" t="s">
        <v>958</v>
      </c>
      <c r="B55" t="s">
        <v>1624</v>
      </c>
      <c r="C55" t="str">
        <f t="shared" si="14"/>
        <v>D94500-DRRM - Management - Animation</v>
      </c>
      <c r="D55" s="196" t="str">
        <f t="shared" si="15"/>
        <v>D94500</v>
      </c>
    </row>
    <row r="56" spans="1:4" x14ac:dyDescent="0.3">
      <c r="A56" s="242" t="s">
        <v>1625</v>
      </c>
      <c r="B56" s="242" t="s">
        <v>1626</v>
      </c>
      <c r="C56" t="str">
        <f t="shared" si="14"/>
        <v>D94501-DRRM - DR Réunion</v>
      </c>
      <c r="D56" s="196" t="str">
        <f t="shared" si="15"/>
        <v>D94501</v>
      </c>
    </row>
    <row r="57" spans="1:4" x14ac:dyDescent="0.3">
      <c r="A57" s="242" t="s">
        <v>1627</v>
      </c>
      <c r="B57" s="242" t="s">
        <v>1628</v>
      </c>
      <c r="C57" t="str">
        <f t="shared" si="14"/>
        <v>D94502-DRRM - DR Mayotte</v>
      </c>
      <c r="D57" s="196" t="str">
        <f t="shared" si="15"/>
        <v>D94502</v>
      </c>
    </row>
    <row r="58" spans="1:4" x14ac:dyDescent="0.3">
      <c r="A58" t="s">
        <v>959</v>
      </c>
      <c r="B58" t="s">
        <v>960</v>
      </c>
      <c r="C58" t="str">
        <f t="shared" si="14"/>
        <v>D94600-DRAG - Management - Animation</v>
      </c>
      <c r="D58" s="196" t="str">
        <f t="shared" si="15"/>
        <v>D94600</v>
      </c>
    </row>
    <row r="59" spans="1:4" x14ac:dyDescent="0.3">
      <c r="A59" t="s">
        <v>961</v>
      </c>
      <c r="B59" t="s">
        <v>962</v>
      </c>
      <c r="C59" t="str">
        <f t="shared" si="14"/>
        <v>D94601-DRAG - DR Guyane</v>
      </c>
      <c r="D59" s="196" t="str">
        <f t="shared" si="15"/>
        <v>D94601</v>
      </c>
    </row>
    <row r="60" spans="1:4" x14ac:dyDescent="0.3">
      <c r="A60" t="s">
        <v>963</v>
      </c>
      <c r="B60" t="s">
        <v>964</v>
      </c>
      <c r="C60" t="str">
        <f t="shared" si="14"/>
        <v>D94602-DRAG - DR Guadeloupe</v>
      </c>
      <c r="D60" s="196" t="str">
        <f t="shared" si="15"/>
        <v>D94602</v>
      </c>
    </row>
    <row r="61" spans="1:4" x14ac:dyDescent="0.3">
      <c r="A61" t="s">
        <v>965</v>
      </c>
      <c r="B61" t="s">
        <v>966</v>
      </c>
      <c r="C61" t="str">
        <f t="shared" si="14"/>
        <v>D94603-DRAG - DR Martinique</v>
      </c>
      <c r="D61" s="196" t="str">
        <f t="shared" si="15"/>
        <v>D94603</v>
      </c>
    </row>
    <row r="62" spans="1:4" x14ac:dyDescent="0.3">
      <c r="A62" t="s">
        <v>967</v>
      </c>
      <c r="B62" t="s">
        <v>1623</v>
      </c>
      <c r="C62" t="str">
        <f t="shared" si="14"/>
        <v xml:space="preserve">D94700-DRMO </v>
      </c>
      <c r="D62" s="196" t="str">
        <f t="shared" si="15"/>
        <v>D94700</v>
      </c>
    </row>
    <row r="63" spans="1:4" x14ac:dyDescent="0.3">
      <c r="A63" t="s">
        <v>968</v>
      </c>
      <c r="B63" t="s">
        <v>969</v>
      </c>
      <c r="C63" t="str">
        <f t="shared" si="14"/>
        <v>D94800-DRIF - Management - Animation</v>
      </c>
      <c r="D63" s="196" t="str">
        <f t="shared" si="15"/>
        <v>D94800</v>
      </c>
    </row>
    <row r="64" spans="1:4" x14ac:dyDescent="0.3">
      <c r="A64" t="s">
        <v>970</v>
      </c>
      <c r="B64" t="s">
        <v>971</v>
      </c>
      <c r="C64" t="str">
        <f t="shared" si="14"/>
        <v>D94801-DRIF - GRET</v>
      </c>
      <c r="D64" s="196" t="str">
        <f t="shared" si="15"/>
        <v>D94801</v>
      </c>
    </row>
    <row r="65" spans="1:4" x14ac:dyDescent="0.3">
      <c r="A65" t="s">
        <v>972</v>
      </c>
      <c r="B65" t="s">
        <v>973</v>
      </c>
      <c r="C65" t="str">
        <f t="shared" si="14"/>
        <v>D94802-DRIF - IDDRI</v>
      </c>
      <c r="D65" s="196" t="str">
        <f t="shared" si="15"/>
        <v>D94802</v>
      </c>
    </row>
    <row r="66" spans="1:4" x14ac:dyDescent="0.3">
      <c r="A66" t="s">
        <v>974</v>
      </c>
      <c r="B66" t="s">
        <v>975</v>
      </c>
      <c r="C66" t="str">
        <f t="shared" si="14"/>
        <v>D94900-DGD-RD - Management - Animation</v>
      </c>
      <c r="D66" s="196" t="str">
        <f t="shared" si="15"/>
        <v>D94900</v>
      </c>
    </row>
    <row r="67" spans="1:4" x14ac:dyDescent="0.3">
      <c r="A67" t="s">
        <v>976</v>
      </c>
      <c r="B67" t="s">
        <v>977</v>
      </c>
      <c r="C67" t="str">
        <f t="shared" si="14"/>
        <v>D94901-DGD-RD - DAchats</v>
      </c>
      <c r="D67" s="196" t="str">
        <f t="shared" si="15"/>
        <v>D94901</v>
      </c>
    </row>
    <row r="68" spans="1:4" x14ac:dyDescent="0.3">
      <c r="A68" t="s">
        <v>978</v>
      </c>
      <c r="B68" t="s">
        <v>979</v>
      </c>
      <c r="C68" t="str">
        <f t="shared" si="14"/>
        <v>D94902-DGD-RD - DArchives</v>
      </c>
      <c r="D68" s="196" t="str">
        <f t="shared" si="15"/>
        <v>D94902</v>
      </c>
    </row>
    <row r="69" spans="1:4" x14ac:dyDescent="0.3">
      <c r="A69" t="s">
        <v>980</v>
      </c>
      <c r="B69" t="s">
        <v>981</v>
      </c>
      <c r="C69" t="str">
        <f t="shared" ref="C69:C94" si="20">A69&amp;"-"&amp;B69</f>
        <v>D94903-DGD-RD - DJuridique</v>
      </c>
      <c r="D69" s="196" t="str">
        <f t="shared" ref="D69:D101" si="21">A69</f>
        <v>D94903</v>
      </c>
    </row>
    <row r="70" spans="1:4" x14ac:dyDescent="0.3">
      <c r="A70" t="s">
        <v>982</v>
      </c>
      <c r="B70" t="s">
        <v>983</v>
      </c>
      <c r="C70" t="str">
        <f t="shared" si="20"/>
        <v>D94904-DGD-RD - DSST</v>
      </c>
      <c r="D70" s="196" t="str">
        <f t="shared" si="21"/>
        <v>D94904</v>
      </c>
    </row>
    <row r="71" spans="1:4" x14ac:dyDescent="0.3">
      <c r="A71" t="s">
        <v>984</v>
      </c>
      <c r="B71" t="s">
        <v>985</v>
      </c>
      <c r="C71" t="str">
        <f t="shared" si="20"/>
        <v>D95800-DAE</v>
      </c>
      <c r="D71" s="196" t="str">
        <f t="shared" si="21"/>
        <v>D95800</v>
      </c>
    </row>
    <row r="72" spans="1:4" x14ac:dyDescent="0.3">
      <c r="A72" t="s">
        <v>986</v>
      </c>
      <c r="B72" t="s">
        <v>987</v>
      </c>
      <c r="C72" t="str">
        <f t="shared" si="20"/>
        <v>D95900-DIST - Management - Animation</v>
      </c>
      <c r="D72" s="196" t="str">
        <f t="shared" si="21"/>
        <v>D95900</v>
      </c>
    </row>
    <row r="73" spans="1:4" x14ac:dyDescent="0.3">
      <c r="A73" t="s">
        <v>988</v>
      </c>
      <c r="B73" t="s">
        <v>989</v>
      </c>
      <c r="C73" t="str">
        <f t="shared" si="20"/>
        <v>D95901-DIST - Appui à la recherche</v>
      </c>
      <c r="D73" s="196" t="str">
        <f t="shared" si="21"/>
        <v>D95901</v>
      </c>
    </row>
    <row r="74" spans="1:4" x14ac:dyDescent="0.3">
      <c r="A74" t="s">
        <v>990</v>
      </c>
      <c r="B74" t="s">
        <v>991</v>
      </c>
      <c r="C74" t="str">
        <f t="shared" si="20"/>
        <v>D95902-DIST - Bibliothèques</v>
      </c>
      <c r="D74" s="196" t="str">
        <f t="shared" si="21"/>
        <v>D95902</v>
      </c>
    </row>
    <row r="75" spans="1:4" x14ac:dyDescent="0.3">
      <c r="A75" t="s">
        <v>992</v>
      </c>
      <c r="B75" t="s">
        <v>993</v>
      </c>
      <c r="C75" t="str">
        <f t="shared" si="20"/>
        <v>D95903-DIST - Référentiels en IST</v>
      </c>
      <c r="D75" s="196" t="str">
        <f t="shared" si="21"/>
        <v>D95903</v>
      </c>
    </row>
    <row r="76" spans="1:4" x14ac:dyDescent="0.3">
      <c r="A76" t="s">
        <v>994</v>
      </c>
      <c r="B76" t="s">
        <v>995</v>
      </c>
      <c r="C76" t="str">
        <f t="shared" si="20"/>
        <v>D95904-DIST - Appui à la publication</v>
      </c>
      <c r="D76" s="196" t="str">
        <f t="shared" si="21"/>
        <v>D95904</v>
      </c>
    </row>
    <row r="77" spans="1:4" x14ac:dyDescent="0.3">
      <c r="A77" t="s">
        <v>996</v>
      </c>
      <c r="B77" t="s">
        <v>997</v>
      </c>
      <c r="C77" t="str">
        <f t="shared" si="20"/>
        <v>D95905-DIST - QUAE-Cirad</v>
      </c>
      <c r="D77" s="196" t="str">
        <f t="shared" si="21"/>
        <v>D95905</v>
      </c>
    </row>
    <row r="78" spans="1:4" x14ac:dyDescent="0.3">
      <c r="A78" s="242" t="s">
        <v>998</v>
      </c>
      <c r="B78" s="242" t="s">
        <v>999</v>
      </c>
      <c r="C78" t="str">
        <f t="shared" si="20"/>
        <v>D96100-DGD-RS - Management - Animation</v>
      </c>
      <c r="D78" s="196" t="str">
        <f t="shared" si="21"/>
        <v>D96100</v>
      </c>
    </row>
    <row r="79" spans="1:4" x14ac:dyDescent="0.3">
      <c r="A79" s="242" t="s">
        <v>1000</v>
      </c>
      <c r="B79" s="242" t="s">
        <v>1588</v>
      </c>
      <c r="C79" t="str">
        <f t="shared" si="20"/>
        <v>D96104-DGD-RS - Del Qualité &amp; Infrastructures (QIR)</v>
      </c>
      <c r="D79" s="196" t="str">
        <f t="shared" si="21"/>
        <v>D96104</v>
      </c>
    </row>
    <row r="80" spans="1:4" x14ac:dyDescent="0.3">
      <c r="A80" s="242" t="s">
        <v>1589</v>
      </c>
      <c r="B80" s="242" t="s">
        <v>1590</v>
      </c>
      <c r="C80" t="str">
        <f t="shared" si="20"/>
        <v>D96105-DGD-RS - Enseignement Sup. &amp; Formation</v>
      </c>
      <c r="D80" s="196" t="str">
        <f t="shared" si="21"/>
        <v>D96105</v>
      </c>
    </row>
    <row r="81" spans="1:4" x14ac:dyDescent="0.3">
      <c r="A81" s="242" t="s">
        <v>1591</v>
      </c>
      <c r="B81" s="242" t="s">
        <v>1592</v>
      </c>
      <c r="C81" t="str">
        <f t="shared" si="20"/>
        <v>D96106-GEOP - Management - Animation</v>
      </c>
      <c r="D81" s="196" t="str">
        <f t="shared" si="21"/>
        <v>D96106</v>
      </c>
    </row>
    <row r="82" spans="1:4" x14ac:dyDescent="0.3">
      <c r="A82" s="242" t="s">
        <v>1593</v>
      </c>
      <c r="B82" s="242" t="s">
        <v>1594</v>
      </c>
      <c r="C82" t="str">
        <f t="shared" si="20"/>
        <v>D96107-GEOP - DR MEDITERRANEE</v>
      </c>
      <c r="D82" s="196" t="str">
        <f t="shared" si="21"/>
        <v>D96107</v>
      </c>
    </row>
    <row r="83" spans="1:4" x14ac:dyDescent="0.3">
      <c r="A83" s="242" t="s">
        <v>1595</v>
      </c>
      <c r="B83" s="242" t="s">
        <v>1596</v>
      </c>
      <c r="C83" t="str">
        <f t="shared" si="20"/>
        <v>D96108-GEOP - DR AFR OUEST ZS</v>
      </c>
      <c r="D83" s="196" t="str">
        <f t="shared" si="21"/>
        <v>D96108</v>
      </c>
    </row>
    <row r="84" spans="1:4" x14ac:dyDescent="0.3">
      <c r="A84" s="242" t="s">
        <v>1597</v>
      </c>
      <c r="B84" s="242" t="s">
        <v>1598</v>
      </c>
      <c r="C84" t="str">
        <f t="shared" si="20"/>
        <v>D96109-GEOP - DR A CENTRALE</v>
      </c>
      <c r="D84" s="196" t="str">
        <f t="shared" si="21"/>
        <v>D96109</v>
      </c>
    </row>
    <row r="85" spans="1:4" x14ac:dyDescent="0.3">
      <c r="A85" s="242" t="s">
        <v>1599</v>
      </c>
      <c r="B85" s="242" t="s">
        <v>1600</v>
      </c>
      <c r="C85" t="str">
        <f t="shared" si="20"/>
        <v>D96110-GEOP - DR AFR OUEST FSH</v>
      </c>
      <c r="D85" s="196" t="str">
        <f t="shared" si="21"/>
        <v>D96110</v>
      </c>
    </row>
    <row r="86" spans="1:4" x14ac:dyDescent="0.3">
      <c r="A86" s="242" t="s">
        <v>1601</v>
      </c>
      <c r="B86" s="242" t="s">
        <v>1602</v>
      </c>
      <c r="C86" t="str">
        <f t="shared" si="20"/>
        <v>D96111-GEOP - DR AFR AUSTR &amp; MADA</v>
      </c>
      <c r="D86" s="196" t="str">
        <f t="shared" si="21"/>
        <v>D96111</v>
      </c>
    </row>
    <row r="87" spans="1:4" x14ac:dyDescent="0.3">
      <c r="A87" s="242" t="s">
        <v>1603</v>
      </c>
      <c r="B87" s="242" t="s">
        <v>1604</v>
      </c>
      <c r="C87" t="str">
        <f t="shared" si="20"/>
        <v>D96112-GEOP - DR ASIE INSULAIRE</v>
      </c>
      <c r="D87" s="196" t="str">
        <f t="shared" si="21"/>
        <v>D96112</v>
      </c>
    </row>
    <row r="88" spans="1:4" x14ac:dyDescent="0.3">
      <c r="A88" s="242" t="s">
        <v>1605</v>
      </c>
      <c r="B88" s="242" t="s">
        <v>1606</v>
      </c>
      <c r="C88" t="str">
        <f t="shared" si="20"/>
        <v>D96113-GEOP - DR ASIE CONTINENTALE</v>
      </c>
      <c r="D88" s="196" t="str">
        <f t="shared" si="21"/>
        <v>D96113</v>
      </c>
    </row>
    <row r="89" spans="1:4" x14ac:dyDescent="0.3">
      <c r="A89" s="242" t="s">
        <v>1607</v>
      </c>
      <c r="B89" s="242" t="s">
        <v>1608</v>
      </c>
      <c r="C89" t="str">
        <f t="shared" si="20"/>
        <v>D96114-GEOP - DR BRESIL</v>
      </c>
      <c r="D89" s="196" t="str">
        <f t="shared" si="21"/>
        <v>D96114</v>
      </c>
    </row>
    <row r="90" spans="1:4" x14ac:dyDescent="0.3">
      <c r="A90" s="242" t="s">
        <v>1609</v>
      </c>
      <c r="B90" s="242" t="s">
        <v>1610</v>
      </c>
      <c r="C90" t="str">
        <f t="shared" si="20"/>
        <v>D96115-GEOP - DR AFR ORIENTALE - KENYA</v>
      </c>
      <c r="D90" s="196" t="str">
        <f t="shared" si="21"/>
        <v>D96115</v>
      </c>
    </row>
    <row r="91" spans="1:4" x14ac:dyDescent="0.3">
      <c r="A91" s="242" t="s">
        <v>1611</v>
      </c>
      <c r="B91" s="242" t="s">
        <v>1612</v>
      </c>
      <c r="C91" t="str">
        <f t="shared" si="20"/>
        <v>D96116-GEOP - Délégation DP</v>
      </c>
      <c r="D91" s="196" t="str">
        <f t="shared" si="21"/>
        <v>D96116</v>
      </c>
    </row>
    <row r="92" spans="1:4" x14ac:dyDescent="0.3">
      <c r="A92" s="242" t="s">
        <v>1613</v>
      </c>
      <c r="B92" s="242" t="s">
        <v>1614</v>
      </c>
      <c r="C92" t="str">
        <f t="shared" si="20"/>
        <v>D96117-GEOP - Délégation Europe</v>
      </c>
      <c r="D92" s="196" t="str">
        <f t="shared" si="21"/>
        <v>D96117</v>
      </c>
    </row>
    <row r="93" spans="1:4" x14ac:dyDescent="0.3">
      <c r="A93" s="242" t="s">
        <v>1744</v>
      </c>
      <c r="B93" s="242" t="s">
        <v>1745</v>
      </c>
      <c r="C93" t="str">
        <f t="shared" ref="C93" si="22">A93&amp;"-"&amp;B93</f>
        <v>D96118-GEOP - DR AM CENTRALE - PAYS ANDINS</v>
      </c>
      <c r="D93" s="196" t="str">
        <f t="shared" ref="D93" si="23">A93</f>
        <v>D96118</v>
      </c>
    </row>
    <row r="94" spans="1:4" x14ac:dyDescent="0.3">
      <c r="A94" s="242" t="s">
        <v>1615</v>
      </c>
      <c r="B94" s="242" t="s">
        <v>1616</v>
      </c>
      <c r="C94" t="str">
        <f t="shared" si="20"/>
        <v>D96200-DIMS - Management - Animation</v>
      </c>
      <c r="D94" s="196" t="str">
        <f t="shared" si="21"/>
        <v>D96200</v>
      </c>
    </row>
    <row r="95" spans="1:4" x14ac:dyDescent="0.3">
      <c r="A95" s="242" t="s">
        <v>1617</v>
      </c>
      <c r="B95" s="242" t="s">
        <v>1620</v>
      </c>
      <c r="C95" t="str">
        <f t="shared" ref="C95:C129" si="24">A95&amp;"-"&amp;B95</f>
        <v>D96201-DIMS - Valorisation</v>
      </c>
      <c r="D95" s="196" t="str">
        <f t="shared" si="21"/>
        <v>D96201</v>
      </c>
    </row>
    <row r="96" spans="1:4" x14ac:dyDescent="0.3">
      <c r="A96" s="242" t="s">
        <v>1619</v>
      </c>
      <c r="B96" s="242" t="s">
        <v>1618</v>
      </c>
      <c r="C96" t="str">
        <f t="shared" si="24"/>
        <v>D96202-DIMS - Impact Bailleurs</v>
      </c>
      <c r="D96" s="196" t="str">
        <f t="shared" si="21"/>
        <v>D96202</v>
      </c>
    </row>
    <row r="97" spans="1:4" x14ac:dyDescent="0.3">
      <c r="A97" s="242" t="s">
        <v>1621</v>
      </c>
      <c r="B97" s="242" t="s">
        <v>1622</v>
      </c>
      <c r="C97" t="str">
        <f t="shared" si="24"/>
        <v>D96203-DIMS - Projets</v>
      </c>
      <c r="D97" s="196" t="str">
        <f t="shared" si="21"/>
        <v>D96203</v>
      </c>
    </row>
    <row r="98" spans="1:4" x14ac:dyDescent="0.3">
      <c r="A98" t="s">
        <v>1001</v>
      </c>
      <c r="B98" t="s">
        <v>1002</v>
      </c>
      <c r="C98" t="str">
        <f t="shared" si="24"/>
        <v>D96300-DELCOM - Management - Animation</v>
      </c>
      <c r="D98" s="196" t="str">
        <f t="shared" si="21"/>
        <v>D96300</v>
      </c>
    </row>
    <row r="99" spans="1:4" x14ac:dyDescent="0.3">
      <c r="A99" t="s">
        <v>1003</v>
      </c>
      <c r="B99" s="242" t="s">
        <v>1581</v>
      </c>
      <c r="C99" t="str">
        <f t="shared" si="24"/>
        <v>D96301-DELCOM - Actualités et réseaux sociaux</v>
      </c>
      <c r="D99" s="196" t="str">
        <f t="shared" si="21"/>
        <v>D96301</v>
      </c>
    </row>
    <row r="100" spans="1:4" x14ac:dyDescent="0.3">
      <c r="A100" t="s">
        <v>1004</v>
      </c>
      <c r="B100" s="242" t="s">
        <v>1005</v>
      </c>
      <c r="C100" t="str">
        <f t="shared" si="24"/>
        <v>D96302-DELCOM - Supports institutionnels</v>
      </c>
      <c r="D100" s="196" t="str">
        <f t="shared" si="21"/>
        <v>D96302</v>
      </c>
    </row>
    <row r="101" spans="1:4" x14ac:dyDescent="0.3">
      <c r="A101" t="s">
        <v>1006</v>
      </c>
      <c r="B101" s="242" t="s">
        <v>1582</v>
      </c>
      <c r="C101" t="str">
        <f t="shared" si="24"/>
        <v>D96303-DELCOM - Evénementiel</v>
      </c>
      <c r="D101" s="196" t="str">
        <f t="shared" si="21"/>
        <v>D96303</v>
      </c>
    </row>
    <row r="102" spans="1:4" x14ac:dyDescent="0.3">
      <c r="A102" t="s">
        <v>1007</v>
      </c>
      <c r="B102" s="242" t="s">
        <v>1583</v>
      </c>
      <c r="C102" t="str">
        <f t="shared" si="24"/>
        <v>D96304-DELCOM - Communication interne et appui aux équipes</v>
      </c>
      <c r="D102" s="196" t="str">
        <f t="shared" ref="D102:D129" si="25">A102</f>
        <v>D96304</v>
      </c>
    </row>
    <row r="103" spans="1:4" x14ac:dyDescent="0.3">
      <c r="A103" t="s">
        <v>1584</v>
      </c>
      <c r="B103" s="242" t="s">
        <v>1585</v>
      </c>
      <c r="C103" t="str">
        <f t="shared" si="24"/>
        <v>D96305-DELCOM - Relations médias</v>
      </c>
      <c r="D103" s="196" t="str">
        <f t="shared" si="25"/>
        <v>D96305</v>
      </c>
    </row>
    <row r="104" spans="1:4" x14ac:dyDescent="0.3">
      <c r="A104" t="s">
        <v>1586</v>
      </c>
      <c r="B104" s="242" t="s">
        <v>1587</v>
      </c>
      <c r="C104" t="str">
        <f t="shared" si="24"/>
        <v>D96306-DELCOM - Grands projets</v>
      </c>
      <c r="D104" s="196" t="str">
        <f t="shared" si="25"/>
        <v>D96306</v>
      </c>
    </row>
    <row r="105" spans="1:4" x14ac:dyDescent="0.3">
      <c r="A105" t="s">
        <v>1775</v>
      </c>
      <c r="B105" s="242" t="s">
        <v>1776</v>
      </c>
      <c r="C105" t="str">
        <f t="shared" si="24"/>
        <v>D96307-DELCOM - Création graphique</v>
      </c>
      <c r="D105" s="196" t="str">
        <f t="shared" si="25"/>
        <v>D96307</v>
      </c>
    </row>
    <row r="106" spans="1:4" x14ac:dyDescent="0.3">
      <c r="A106" s="242" t="s">
        <v>1008</v>
      </c>
      <c r="B106" s="242" t="s">
        <v>1009</v>
      </c>
      <c r="C106" t="str">
        <f t="shared" si="24"/>
        <v>D97400-DRH - Management - Animation</v>
      </c>
      <c r="D106" s="196" t="str">
        <f t="shared" si="25"/>
        <v>D97400</v>
      </c>
    </row>
    <row r="107" spans="1:4" x14ac:dyDescent="0.3">
      <c r="A107" s="242" t="s">
        <v>1010</v>
      </c>
      <c r="B107" s="242" t="s">
        <v>1011</v>
      </c>
      <c r="C107" t="str">
        <f t="shared" si="24"/>
        <v>D97401-DRH - Accompagnement management</v>
      </c>
      <c r="D107" s="196" t="str">
        <f t="shared" si="25"/>
        <v>D97401</v>
      </c>
    </row>
    <row r="108" spans="1:4" x14ac:dyDescent="0.3">
      <c r="A108" s="242" t="s">
        <v>1012</v>
      </c>
      <c r="B108" s="242" t="s">
        <v>1013</v>
      </c>
      <c r="C108" t="str">
        <f t="shared" si="24"/>
        <v>D97402-DRH - Gestion des carrières</v>
      </c>
      <c r="D108" s="196" t="str">
        <f t="shared" si="25"/>
        <v>D97402</v>
      </c>
    </row>
    <row r="109" spans="1:4" x14ac:dyDescent="0.3">
      <c r="A109" s="242" t="s">
        <v>1014</v>
      </c>
      <c r="B109" s="242" t="s">
        <v>1015</v>
      </c>
      <c r="C109" t="str">
        <f t="shared" si="24"/>
        <v>D97403-DRH - Adéquations besoins - ressources en compétences</v>
      </c>
      <c r="D109" s="196" t="str">
        <f t="shared" si="25"/>
        <v>D97403</v>
      </c>
    </row>
    <row r="110" spans="1:4" x14ac:dyDescent="0.3">
      <c r="A110" s="242" t="s">
        <v>1016</v>
      </c>
      <c r="B110" s="242" t="s">
        <v>1017</v>
      </c>
      <c r="C110" t="str">
        <f t="shared" si="24"/>
        <v>D97404-DRH - Formation</v>
      </c>
      <c r="D110" s="196" t="str">
        <f t="shared" si="25"/>
        <v>D97404</v>
      </c>
    </row>
    <row r="111" spans="1:4" x14ac:dyDescent="0.3">
      <c r="A111" s="242" t="s">
        <v>1018</v>
      </c>
      <c r="B111" s="242" t="s">
        <v>1019</v>
      </c>
      <c r="C111" t="str">
        <f t="shared" si="24"/>
        <v>D97405-DRH - Accueil</v>
      </c>
      <c r="D111" s="196" t="str">
        <f t="shared" si="25"/>
        <v>D97405</v>
      </c>
    </row>
    <row r="112" spans="1:4" x14ac:dyDescent="0.3">
      <c r="A112" s="242" t="s">
        <v>1020</v>
      </c>
      <c r="B112" s="242" t="s">
        <v>1021</v>
      </c>
      <c r="C112" t="str">
        <f t="shared" si="24"/>
        <v>D97406-DRH - Administration RH</v>
      </c>
      <c r="D112" s="196" t="str">
        <f t="shared" si="25"/>
        <v>D97406</v>
      </c>
    </row>
    <row r="113" spans="1:4" x14ac:dyDescent="0.3">
      <c r="A113" s="242" t="s">
        <v>1022</v>
      </c>
      <c r="B113" s="242" t="s">
        <v>1023</v>
      </c>
      <c r="C113" t="str">
        <f t="shared" si="24"/>
        <v>D97407-DRH - Relations sociales et contractuelles</v>
      </c>
      <c r="D113" s="196" t="str">
        <f t="shared" si="25"/>
        <v>D97407</v>
      </c>
    </row>
    <row r="114" spans="1:4" x14ac:dyDescent="0.3">
      <c r="A114" s="242" t="s">
        <v>1024</v>
      </c>
      <c r="B114" s="242" t="s">
        <v>1025</v>
      </c>
      <c r="C114" t="str">
        <f t="shared" si="24"/>
        <v>D97408-DRH - Développement social</v>
      </c>
      <c r="D114" s="196" t="str">
        <f t="shared" si="25"/>
        <v>D97408</v>
      </c>
    </row>
    <row r="115" spans="1:4" x14ac:dyDescent="0.3">
      <c r="A115" s="242" t="s">
        <v>1026</v>
      </c>
      <c r="B115" s="242" t="s">
        <v>1027</v>
      </c>
      <c r="C115" t="str">
        <f t="shared" si="24"/>
        <v>D97409-DRH - Etudes et projets</v>
      </c>
      <c r="D115" s="196" t="str">
        <f t="shared" si="25"/>
        <v>D97409</v>
      </c>
    </row>
    <row r="116" spans="1:4" x14ac:dyDescent="0.3">
      <c r="A116" t="s">
        <v>1028</v>
      </c>
      <c r="B116" t="s">
        <v>1029</v>
      </c>
      <c r="C116" t="str">
        <f t="shared" si="24"/>
        <v>D97500-DITAM</v>
      </c>
      <c r="D116" s="196" t="str">
        <f t="shared" si="25"/>
        <v>D97500</v>
      </c>
    </row>
    <row r="117" spans="1:4" x14ac:dyDescent="0.3">
      <c r="A117" t="s">
        <v>1030</v>
      </c>
      <c r="B117" t="s">
        <v>1031</v>
      </c>
      <c r="C117" t="str">
        <f t="shared" si="24"/>
        <v>D97600-DCAF - Management - Animation</v>
      </c>
      <c r="D117" s="196" t="str">
        <f t="shared" si="25"/>
        <v>D97600</v>
      </c>
    </row>
    <row r="118" spans="1:4" x14ac:dyDescent="0.3">
      <c r="A118" s="242" t="s">
        <v>655</v>
      </c>
      <c r="B118" s="242" t="s">
        <v>1032</v>
      </c>
      <c r="C118" t="str">
        <f t="shared" si="24"/>
        <v>D97601-DCAF - Comptabilité</v>
      </c>
      <c r="D118" s="196" t="str">
        <f t="shared" si="25"/>
        <v>D97601</v>
      </c>
    </row>
    <row r="119" spans="1:4" x14ac:dyDescent="0.3">
      <c r="A119" s="242" t="s">
        <v>1033</v>
      </c>
      <c r="B119" s="242" t="s">
        <v>1035</v>
      </c>
      <c r="C119" t="str">
        <f t="shared" si="24"/>
        <v>D97602-DCAF - Budget central</v>
      </c>
      <c r="D119" s="196" t="str">
        <f t="shared" si="25"/>
        <v>D97602</v>
      </c>
    </row>
    <row r="120" spans="1:4" x14ac:dyDescent="0.3">
      <c r="A120" s="242" t="s">
        <v>1034</v>
      </c>
      <c r="B120" s="242" t="s">
        <v>1037</v>
      </c>
      <c r="C120" t="str">
        <f t="shared" si="24"/>
        <v>D97603-DCAF - Budget déconcentré</v>
      </c>
      <c r="D120" s="196" t="str">
        <f t="shared" si="25"/>
        <v>D97603</v>
      </c>
    </row>
    <row r="121" spans="1:4" x14ac:dyDescent="0.3">
      <c r="A121" s="242" t="s">
        <v>1036</v>
      </c>
      <c r="B121" s="242" t="s">
        <v>1039</v>
      </c>
      <c r="C121" t="str">
        <f t="shared" si="24"/>
        <v>D97604-DCAF - Gestion de contrats</v>
      </c>
      <c r="D121" s="196" t="str">
        <f t="shared" si="25"/>
        <v>D97604</v>
      </c>
    </row>
    <row r="122" spans="1:4" x14ac:dyDescent="0.3">
      <c r="A122" s="242" t="s">
        <v>1038</v>
      </c>
      <c r="B122" s="242" t="s">
        <v>1041</v>
      </c>
      <c r="C122" t="str">
        <f t="shared" si="24"/>
        <v>D97605-DCAF - Recouvrement</v>
      </c>
      <c r="D122" s="196" t="str">
        <f t="shared" si="25"/>
        <v>D97605</v>
      </c>
    </row>
    <row r="123" spans="1:4" x14ac:dyDescent="0.3">
      <c r="A123" s="242" t="s">
        <v>1040</v>
      </c>
      <c r="B123" s="242" t="s">
        <v>1042</v>
      </c>
      <c r="C123" t="str">
        <f t="shared" si="24"/>
        <v>D97606-DCAF - G2M</v>
      </c>
      <c r="D123" s="196" t="str">
        <f t="shared" si="25"/>
        <v>D97606</v>
      </c>
    </row>
    <row r="124" spans="1:4" x14ac:dyDescent="0.3">
      <c r="A124" t="s">
        <v>1043</v>
      </c>
      <c r="B124" t="s">
        <v>1044</v>
      </c>
      <c r="C124" t="str">
        <f t="shared" si="24"/>
        <v>D98500-PDG - Management - Animation</v>
      </c>
      <c r="D124" s="196" t="str">
        <f t="shared" si="25"/>
        <v>D98500</v>
      </c>
    </row>
    <row r="125" spans="1:4" x14ac:dyDescent="0.3">
      <c r="A125" t="s">
        <v>1045</v>
      </c>
      <c r="B125" t="s">
        <v>1046</v>
      </c>
      <c r="C125" t="str">
        <f t="shared" si="24"/>
        <v>D98501-PDG - DirDep Bios</v>
      </c>
      <c r="D125" s="196" t="str">
        <f t="shared" si="25"/>
        <v>D98501</v>
      </c>
    </row>
    <row r="126" spans="1:4" x14ac:dyDescent="0.3">
      <c r="A126" t="s">
        <v>1047</v>
      </c>
      <c r="B126" t="s">
        <v>1048</v>
      </c>
      <c r="C126" t="str">
        <f t="shared" si="24"/>
        <v>D98502-PDG - DirDep Persyst</v>
      </c>
      <c r="D126" s="196" t="str">
        <f t="shared" si="25"/>
        <v>D98502</v>
      </c>
    </row>
    <row r="127" spans="1:4" x14ac:dyDescent="0.3">
      <c r="A127" t="s">
        <v>1049</v>
      </c>
      <c r="B127" t="s">
        <v>1050</v>
      </c>
      <c r="C127" t="str">
        <f t="shared" si="24"/>
        <v>D98503-PDG - DirDep Es</v>
      </c>
      <c r="D127" s="196" t="str">
        <f t="shared" si="25"/>
        <v>D98503</v>
      </c>
    </row>
    <row r="128" spans="1:4" x14ac:dyDescent="0.3">
      <c r="A128" t="s">
        <v>1751</v>
      </c>
      <c r="B128" t="s">
        <v>1752</v>
      </c>
      <c r="C128" t="str">
        <f t="shared" ref="C128" si="26">A128&amp;"-"&amp;B128</f>
        <v>D98504-PDG - DAffaires publiques</v>
      </c>
      <c r="D128" s="196" t="str">
        <f t="shared" ref="D128" si="27">A128</f>
        <v>D98504</v>
      </c>
    </row>
    <row r="129" spans="1:4" x14ac:dyDescent="0.3">
      <c r="A129">
        <v>900000</v>
      </c>
      <c r="B129" t="s">
        <v>1051</v>
      </c>
      <c r="C129" t="str">
        <f t="shared" si="24"/>
        <v>900000-Structure technique</v>
      </c>
      <c r="D129" s="196">
        <f t="shared" si="25"/>
        <v>900000</v>
      </c>
    </row>
  </sheetData>
  <sheetProtection algorithmName="SHA-512" hashValue="B+PWXkNPNVXGyU/QfkTzPwt1/LlwneoX4tvW8ittq6jiWqndNQV6syYxL0nq8iWnu3gtnqDoZaF4mm7lnEpLFg==" saltValue="lPlIOEaMSWPGoYEdw1D9JA==" spinCount="100000" sheet="1" objects="1" scenarios="1" selectLockedCells="1"/>
  <sortState ref="A2:D123">
    <sortCondition ref="A2"/>
  </sortState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13"/>
  <sheetViews>
    <sheetView workbookViewId="0">
      <selection activeCell="C28" sqref="C28"/>
    </sheetView>
  </sheetViews>
  <sheetFormatPr defaultColWidth="11.44140625" defaultRowHeight="14.4" x14ac:dyDescent="0.3"/>
  <cols>
    <col min="1" max="1" width="14.44140625" bestFit="1" customWidth="1"/>
    <col min="2" max="2" width="54.6640625" bestFit="1" customWidth="1"/>
    <col min="3" max="3" width="52.109375" bestFit="1" customWidth="1"/>
    <col min="4" max="4" width="14.44140625" bestFit="1" customWidth="1"/>
  </cols>
  <sheetData>
    <row r="1" spans="1:4" x14ac:dyDescent="0.3">
      <c r="A1" s="195" t="s">
        <v>917</v>
      </c>
      <c r="B1" s="195" t="s">
        <v>918</v>
      </c>
      <c r="C1" s="195" t="s">
        <v>919</v>
      </c>
      <c r="D1" s="195" t="s">
        <v>917</v>
      </c>
    </row>
    <row r="2" spans="1:4" x14ac:dyDescent="0.3">
      <c r="A2" s="196" t="s">
        <v>1052</v>
      </c>
      <c r="B2" s="196" t="s">
        <v>1053</v>
      </c>
      <c r="C2" t="str">
        <f>A2&amp;"-"&amp;B2</f>
        <v>A01T001-Fonctionnement Direction, management, appui</v>
      </c>
      <c r="D2" s="196" t="s">
        <v>1052</v>
      </c>
    </row>
    <row r="3" spans="1:4" x14ac:dyDescent="0.3">
      <c r="A3" s="196" t="s">
        <v>1054</v>
      </c>
      <c r="B3" s="196" t="s">
        <v>1055</v>
      </c>
      <c r="C3" t="str">
        <f>A3&amp;"-"&amp;B3</f>
        <v>A01T002-Comitologie</v>
      </c>
      <c r="D3" s="196" t="s">
        <v>1054</v>
      </c>
    </row>
    <row r="4" spans="1:4" x14ac:dyDescent="0.3">
      <c r="A4" s="196" t="s">
        <v>656</v>
      </c>
      <c r="B4" s="196" t="s">
        <v>1056</v>
      </c>
      <c r="C4" t="str">
        <f t="shared" ref="C4:C67" si="0">A4&amp;"-"&amp;B4</f>
        <v>A01T003-Animation scientifique</v>
      </c>
      <c r="D4" s="196" t="s">
        <v>656</v>
      </c>
    </row>
    <row r="5" spans="1:4" x14ac:dyDescent="0.3">
      <c r="A5" s="196" t="s">
        <v>592</v>
      </c>
      <c r="B5" s="196" t="s">
        <v>1057</v>
      </c>
      <c r="C5" t="str">
        <f t="shared" si="0"/>
        <v>A01T004-Fonctionnement opérationnel</v>
      </c>
      <c r="D5" s="196" t="s">
        <v>592</v>
      </c>
    </row>
    <row r="6" spans="1:4" x14ac:dyDescent="0.3">
      <c r="A6" s="196" t="s">
        <v>1058</v>
      </c>
      <c r="B6" s="196" t="s">
        <v>1059</v>
      </c>
      <c r="C6" t="str">
        <f t="shared" si="0"/>
        <v>A02T001-Soutien aux doctorants</v>
      </c>
      <c r="D6" s="196" t="s">
        <v>1058</v>
      </c>
    </row>
    <row r="7" spans="1:4" x14ac:dyDescent="0.3">
      <c r="A7" s="196" t="s">
        <v>1060</v>
      </c>
      <c r="B7" s="196" t="s">
        <v>1061</v>
      </c>
      <c r="C7" t="str">
        <f t="shared" si="0"/>
        <v>A02T002-Soutien aux DP</v>
      </c>
      <c r="D7" s="196" t="s">
        <v>1060</v>
      </c>
    </row>
    <row r="8" spans="1:4" x14ac:dyDescent="0.3">
      <c r="A8" s="196" t="s">
        <v>1062</v>
      </c>
      <c r="B8" s="196" t="s">
        <v>1063</v>
      </c>
      <c r="C8" t="str">
        <f t="shared" si="0"/>
        <v>A02T003-CRESi</v>
      </c>
      <c r="D8" s="196" t="s">
        <v>1062</v>
      </c>
    </row>
    <row r="9" spans="1:4" x14ac:dyDescent="0.3">
      <c r="A9" s="196" t="s">
        <v>1064</v>
      </c>
      <c r="B9" s="196" t="s">
        <v>1065</v>
      </c>
      <c r="C9" t="str">
        <f t="shared" si="0"/>
        <v>A02T004-ProPIS</v>
      </c>
      <c r="D9" s="196" t="s">
        <v>1064</v>
      </c>
    </row>
    <row r="10" spans="1:4" x14ac:dyDescent="0.3">
      <c r="A10" s="196" t="s">
        <v>1066</v>
      </c>
      <c r="B10" s="196" t="s">
        <v>1067</v>
      </c>
      <c r="C10" t="str">
        <f t="shared" si="0"/>
        <v>A02T005-Actions de valorisation</v>
      </c>
      <c r="D10" s="196" t="s">
        <v>1066</v>
      </c>
    </row>
    <row r="11" spans="1:4" x14ac:dyDescent="0.3">
      <c r="A11" s="196" t="s">
        <v>1068</v>
      </c>
      <c r="B11" s="196" t="s">
        <v>1069</v>
      </c>
      <c r="C11" t="str">
        <f t="shared" si="0"/>
        <v>A02T006-Renforcement compétences chercheurs du Sud</v>
      </c>
      <c r="D11" s="196" t="s">
        <v>1068</v>
      </c>
    </row>
    <row r="12" spans="1:4" x14ac:dyDescent="0.3">
      <c r="A12" s="196" t="s">
        <v>1070</v>
      </c>
      <c r="B12" s="196" t="s">
        <v>1071</v>
      </c>
      <c r="C12" t="str">
        <f t="shared" si="0"/>
        <v>A02T007-Formation collectives au Sud</v>
      </c>
      <c r="D12" s="196" t="s">
        <v>1070</v>
      </c>
    </row>
    <row r="13" spans="1:4" x14ac:dyDescent="0.3">
      <c r="A13" s="196" t="s">
        <v>1072</v>
      </c>
      <c r="B13" s="196" t="s">
        <v>1073</v>
      </c>
      <c r="C13" t="str">
        <f t="shared" si="0"/>
        <v>A02T008-Equipements scientifiques</v>
      </c>
      <c r="D13" s="196" t="s">
        <v>1072</v>
      </c>
    </row>
    <row r="14" spans="1:4" x14ac:dyDescent="0.3">
      <c r="A14" s="196" t="s">
        <v>1074</v>
      </c>
      <c r="B14" s="196" t="s">
        <v>1075</v>
      </c>
      <c r="C14" t="str">
        <f t="shared" si="0"/>
        <v>A02T009-GloFoodS</v>
      </c>
      <c r="D14" s="196" t="s">
        <v>1074</v>
      </c>
    </row>
    <row r="15" spans="1:4" x14ac:dyDescent="0.3">
      <c r="A15" s="196" t="s">
        <v>1076</v>
      </c>
      <c r="B15" s="196" t="s">
        <v>1077</v>
      </c>
      <c r="C15" t="str">
        <f t="shared" si="0"/>
        <v>A02T010-Préciput ANR</v>
      </c>
      <c r="D15" s="196" t="s">
        <v>1076</v>
      </c>
    </row>
    <row r="16" spans="1:4" x14ac:dyDescent="0.3">
      <c r="A16" s="196" t="s">
        <v>1078</v>
      </c>
      <c r="B16" s="196" t="s">
        <v>1079</v>
      </c>
      <c r="C16" t="str">
        <f t="shared" si="0"/>
        <v>A03T001-Analyse</v>
      </c>
      <c r="D16" s="196" t="s">
        <v>1078</v>
      </c>
    </row>
    <row r="17" spans="1:4" x14ac:dyDescent="0.3">
      <c r="A17" s="196" t="s">
        <v>1080</v>
      </c>
      <c r="B17" s="196" t="s">
        <v>1081</v>
      </c>
      <c r="C17" t="str">
        <f t="shared" si="0"/>
        <v>A03T002-Biomasse Energie</v>
      </c>
      <c r="D17" s="196" t="s">
        <v>1080</v>
      </c>
    </row>
    <row r="18" spans="1:4" x14ac:dyDescent="0.3">
      <c r="A18" s="196" t="s">
        <v>1082</v>
      </c>
      <c r="B18" s="196" t="s">
        <v>1083</v>
      </c>
      <c r="C18" t="str">
        <f t="shared" si="0"/>
        <v>A03T003-Biomasse Matériaux</v>
      </c>
      <c r="D18" s="196" t="s">
        <v>1082</v>
      </c>
    </row>
    <row r="19" spans="1:4" x14ac:dyDescent="0.3">
      <c r="A19" s="196" t="s">
        <v>1084</v>
      </c>
      <c r="B19" s="196" t="s">
        <v>1085</v>
      </c>
      <c r="C19" t="str">
        <f t="shared" si="0"/>
        <v>A03T004-Anaee</v>
      </c>
      <c r="D19" s="196" t="s">
        <v>1084</v>
      </c>
    </row>
    <row r="20" spans="1:4" x14ac:dyDescent="0.3">
      <c r="A20" s="196" t="s">
        <v>1086</v>
      </c>
      <c r="B20" s="196" t="s">
        <v>1087</v>
      </c>
      <c r="C20" t="str">
        <f t="shared" si="0"/>
        <v>A03T005-Méditeranéa - Palavas</v>
      </c>
      <c r="D20" s="196" t="s">
        <v>1086</v>
      </c>
    </row>
    <row r="21" spans="1:4" x14ac:dyDescent="0.3">
      <c r="A21" s="196" t="s">
        <v>1088</v>
      </c>
      <c r="B21" s="196" t="s">
        <v>1089</v>
      </c>
      <c r="C21" t="str">
        <f t="shared" si="0"/>
        <v>A03T006-Mtechno - Halle de Recherche</v>
      </c>
      <c r="D21" s="196" t="s">
        <v>1088</v>
      </c>
    </row>
    <row r="22" spans="1:4" x14ac:dyDescent="0.3">
      <c r="A22" s="196" t="s">
        <v>1090</v>
      </c>
      <c r="B22" s="196" t="s">
        <v>1091</v>
      </c>
      <c r="C22" t="str">
        <f t="shared" si="0"/>
        <v>A03T007-Mtechno - Labo de Recherche</v>
      </c>
      <c r="D22" s="196" t="s">
        <v>1090</v>
      </c>
    </row>
    <row r="23" spans="1:4" x14ac:dyDescent="0.3">
      <c r="A23" s="196" t="s">
        <v>1092</v>
      </c>
      <c r="B23" s="196" t="s">
        <v>1093</v>
      </c>
      <c r="C23" t="str">
        <f t="shared" si="0"/>
        <v>A03T008-IATE</v>
      </c>
      <c r="D23" s="196" t="s">
        <v>1092</v>
      </c>
    </row>
    <row r="24" spans="1:4" x14ac:dyDescent="0.3">
      <c r="A24" s="196" t="s">
        <v>1094</v>
      </c>
      <c r="B24" s="196" t="s">
        <v>1095</v>
      </c>
      <c r="C24" t="str">
        <f t="shared" si="0"/>
        <v>A03T009-LBTNR</v>
      </c>
      <c r="D24" s="196" t="s">
        <v>1094</v>
      </c>
    </row>
    <row r="25" spans="1:4" x14ac:dyDescent="0.3">
      <c r="A25" s="196" t="s">
        <v>1096</v>
      </c>
      <c r="B25" s="196" t="s">
        <v>1097</v>
      </c>
      <c r="C25" t="str">
        <f t="shared" si="0"/>
        <v>A03T010-Recyclage - Plateau technique</v>
      </c>
      <c r="D25" s="196" t="s">
        <v>1096</v>
      </c>
    </row>
    <row r="26" spans="1:4" x14ac:dyDescent="0.3">
      <c r="A26" s="196" t="s">
        <v>1098</v>
      </c>
      <c r="B26" s="196" t="s">
        <v>1099</v>
      </c>
      <c r="C26" t="str">
        <f t="shared" si="0"/>
        <v>A03T011-Soere Pro Run</v>
      </c>
      <c r="D26" s="196" t="s">
        <v>1098</v>
      </c>
    </row>
    <row r="27" spans="1:4" x14ac:dyDescent="0.3">
      <c r="A27" s="196" t="s">
        <v>1100</v>
      </c>
      <c r="B27" s="196" t="s">
        <v>1101</v>
      </c>
      <c r="C27" t="str">
        <f t="shared" si="0"/>
        <v>A03T012-3-12 Insectarium</v>
      </c>
      <c r="D27" s="196" t="s">
        <v>1100</v>
      </c>
    </row>
    <row r="28" spans="1:4" x14ac:dyDescent="0.3">
      <c r="A28" s="196" t="s">
        <v>1102</v>
      </c>
      <c r="B28" s="196" t="s">
        <v>1103</v>
      </c>
      <c r="C28" t="str">
        <f t="shared" si="0"/>
        <v>A03T013-3-13 Animalerie</v>
      </c>
      <c r="D28" s="196" t="s">
        <v>1102</v>
      </c>
    </row>
    <row r="29" spans="1:4" x14ac:dyDescent="0.3">
      <c r="A29" s="196" t="s">
        <v>1104</v>
      </c>
      <c r="B29" s="196" t="s">
        <v>1105</v>
      </c>
      <c r="C29" t="str">
        <f t="shared" si="0"/>
        <v>A03T014-P2</v>
      </c>
      <c r="D29" s="196" t="s">
        <v>1104</v>
      </c>
    </row>
    <row r="30" spans="1:4" x14ac:dyDescent="0.3">
      <c r="A30" s="196" t="s">
        <v>1106</v>
      </c>
      <c r="B30" s="196" t="s">
        <v>1107</v>
      </c>
      <c r="C30" t="str">
        <f t="shared" si="0"/>
        <v>A03T015-P3</v>
      </c>
      <c r="D30" s="196" t="s">
        <v>1106</v>
      </c>
    </row>
    <row r="31" spans="1:4" x14ac:dyDescent="0.3">
      <c r="A31" s="196" t="s">
        <v>1108</v>
      </c>
      <c r="B31" s="196" t="s">
        <v>1109</v>
      </c>
      <c r="C31" t="str">
        <f t="shared" si="0"/>
        <v>A03T016-Musc</v>
      </c>
      <c r="D31" s="196" t="s">
        <v>1108</v>
      </c>
    </row>
    <row r="32" spans="1:4" x14ac:dyDescent="0.3">
      <c r="A32" s="196" t="s">
        <v>1110</v>
      </c>
      <c r="B32" s="196" t="s">
        <v>1111</v>
      </c>
      <c r="C32" t="str">
        <f t="shared" si="0"/>
        <v>A03T017-Plantnet</v>
      </c>
      <c r="D32" s="196" t="s">
        <v>1110</v>
      </c>
    </row>
    <row r="33" spans="1:4" x14ac:dyDescent="0.3">
      <c r="A33" s="196" t="s">
        <v>1112</v>
      </c>
      <c r="B33" s="196" t="s">
        <v>1113</v>
      </c>
      <c r="C33" t="str">
        <f t="shared" si="0"/>
        <v>A03T018-Génomique</v>
      </c>
      <c r="D33" s="196" t="s">
        <v>1112</v>
      </c>
    </row>
    <row r="34" spans="1:4" x14ac:dyDescent="0.3">
      <c r="A34" s="196" t="s">
        <v>1114</v>
      </c>
      <c r="B34" s="196" t="s">
        <v>1115</v>
      </c>
      <c r="C34" t="str">
        <f t="shared" si="0"/>
        <v>A03T019-Bio Analyse</v>
      </c>
      <c r="D34" s="196" t="s">
        <v>1114</v>
      </c>
    </row>
    <row r="35" spans="1:4" x14ac:dyDescent="0.3">
      <c r="A35" s="196" t="s">
        <v>1116</v>
      </c>
      <c r="B35" s="196" t="s">
        <v>1117</v>
      </c>
      <c r="C35" t="str">
        <f t="shared" si="0"/>
        <v>A03T020-Conservation données</v>
      </c>
      <c r="D35" s="196" t="s">
        <v>1116</v>
      </c>
    </row>
    <row r="36" spans="1:4" x14ac:dyDescent="0.3">
      <c r="A36" s="196" t="s">
        <v>1118</v>
      </c>
      <c r="B36" s="196" t="s">
        <v>1119</v>
      </c>
      <c r="C36" t="str">
        <f t="shared" si="0"/>
        <v>A03T021-Imagerie Phiv (sans historisation)</v>
      </c>
      <c r="D36" s="196" t="s">
        <v>1118</v>
      </c>
    </row>
    <row r="37" spans="1:4" x14ac:dyDescent="0.3">
      <c r="A37" s="196" t="s">
        <v>1120</v>
      </c>
      <c r="B37" s="196" t="s">
        <v>1121</v>
      </c>
      <c r="C37" t="str">
        <f t="shared" si="0"/>
        <v>A03T022-Imagerie Phiv (historisation)</v>
      </c>
      <c r="D37" s="196" t="s">
        <v>1120</v>
      </c>
    </row>
    <row r="38" spans="1:4" x14ac:dyDescent="0.3">
      <c r="A38" s="196" t="s">
        <v>1122</v>
      </c>
      <c r="B38" s="196" t="s">
        <v>1123</v>
      </c>
      <c r="C38" t="str">
        <f t="shared" si="0"/>
        <v>A03T023-Biochimie</v>
      </c>
      <c r="D38" s="196" t="s">
        <v>1122</v>
      </c>
    </row>
    <row r="39" spans="1:4" x14ac:dyDescent="0.3">
      <c r="A39" s="196" t="s">
        <v>1124</v>
      </c>
      <c r="B39" s="196" t="s">
        <v>1125</v>
      </c>
      <c r="C39" t="str">
        <f t="shared" si="0"/>
        <v>A03T024-Ecophysiologie</v>
      </c>
      <c r="D39" s="196" t="s">
        <v>1124</v>
      </c>
    </row>
    <row r="40" spans="1:4" x14ac:dyDescent="0.3">
      <c r="A40" s="196" t="s">
        <v>1126</v>
      </c>
      <c r="B40" s="196" t="s">
        <v>1127</v>
      </c>
      <c r="C40" t="str">
        <f t="shared" si="0"/>
        <v>A03T025-Rhizoscope</v>
      </c>
      <c r="D40" s="196" t="s">
        <v>1126</v>
      </c>
    </row>
    <row r="41" spans="1:4" x14ac:dyDescent="0.3">
      <c r="A41" s="196" t="s">
        <v>1128</v>
      </c>
      <c r="B41" s="196" t="s">
        <v>1129</v>
      </c>
      <c r="C41" t="str">
        <f t="shared" si="0"/>
        <v>A03T026-CRB Tropical</v>
      </c>
      <c r="D41" s="196" t="s">
        <v>1128</v>
      </c>
    </row>
    <row r="42" spans="1:4" x14ac:dyDescent="0.3">
      <c r="A42" s="196" t="s">
        <v>1130</v>
      </c>
      <c r="B42" s="196" t="s">
        <v>1131</v>
      </c>
      <c r="C42" t="str">
        <f t="shared" si="0"/>
        <v>A03T027-Herbier ALF</v>
      </c>
      <c r="D42" s="196" t="s">
        <v>1130</v>
      </c>
    </row>
    <row r="43" spans="1:4" x14ac:dyDescent="0.3">
      <c r="A43" s="196" t="s">
        <v>1132</v>
      </c>
      <c r="B43" s="196" t="s">
        <v>1133</v>
      </c>
      <c r="C43" t="str">
        <f t="shared" si="0"/>
        <v>A03T028-Combi</v>
      </c>
      <c r="D43" s="196" t="s">
        <v>1132</v>
      </c>
    </row>
    <row r="44" spans="1:4" x14ac:dyDescent="0.3">
      <c r="A44" s="196" t="s">
        <v>1134</v>
      </c>
      <c r="B44" s="196" t="s">
        <v>1135</v>
      </c>
      <c r="C44" t="str">
        <f t="shared" si="0"/>
        <v>A03T029-CRB PPT</v>
      </c>
      <c r="D44" s="196" t="s">
        <v>1134</v>
      </c>
    </row>
    <row r="45" spans="1:4" x14ac:dyDescent="0.3">
      <c r="A45" s="196" t="s">
        <v>1136</v>
      </c>
      <c r="B45" s="196" t="s">
        <v>1137</v>
      </c>
      <c r="C45" t="str">
        <f t="shared" si="0"/>
        <v>A03T030-CRB Plantes tropicales</v>
      </c>
      <c r="D45" s="196" t="s">
        <v>1136</v>
      </c>
    </row>
    <row r="46" spans="1:4" x14ac:dyDescent="0.3">
      <c r="A46" s="196" t="s">
        <v>1138</v>
      </c>
      <c r="B46" s="196" t="s">
        <v>1139</v>
      </c>
      <c r="C46" t="str">
        <f t="shared" si="0"/>
        <v>A03T031-3P</v>
      </c>
      <c r="D46" s="196" t="s">
        <v>1138</v>
      </c>
    </row>
    <row r="47" spans="1:4" x14ac:dyDescent="0.3">
      <c r="A47" s="196" t="s">
        <v>1140</v>
      </c>
      <c r="B47" s="196" t="s">
        <v>1141</v>
      </c>
      <c r="C47" t="str">
        <f t="shared" si="0"/>
        <v>A03T032-CRB Vatel</v>
      </c>
      <c r="D47" s="196" t="s">
        <v>1140</v>
      </c>
    </row>
    <row r="48" spans="1:4" x14ac:dyDescent="0.3">
      <c r="A48" s="196" t="s">
        <v>1142</v>
      </c>
      <c r="B48" s="196" t="s">
        <v>1143</v>
      </c>
      <c r="C48" t="str">
        <f t="shared" si="0"/>
        <v>A03T033-Paracou</v>
      </c>
      <c r="D48" s="196" t="s">
        <v>1142</v>
      </c>
    </row>
    <row r="49" spans="1:4" x14ac:dyDescent="0.3">
      <c r="A49" s="196" t="s">
        <v>1144</v>
      </c>
      <c r="B49" s="196" t="s">
        <v>1145</v>
      </c>
      <c r="C49" t="str">
        <f t="shared" si="0"/>
        <v>A03T034-Pariacabo</v>
      </c>
      <c r="D49" s="196" t="s">
        <v>1144</v>
      </c>
    </row>
    <row r="50" spans="1:4" x14ac:dyDescent="0.3">
      <c r="A50" s="196" t="s">
        <v>1146</v>
      </c>
      <c r="B50" s="196" t="s">
        <v>1147</v>
      </c>
      <c r="C50" t="str">
        <f t="shared" si="0"/>
        <v>A03T035-Renater</v>
      </c>
      <c r="D50" s="196" t="s">
        <v>1146</v>
      </c>
    </row>
    <row r="51" spans="1:4" x14ac:dyDescent="0.3">
      <c r="A51" s="196" t="s">
        <v>1148</v>
      </c>
      <c r="B51" s="196" t="s">
        <v>1149</v>
      </c>
      <c r="C51" t="str">
        <f t="shared" si="0"/>
        <v>A03T036-Serres type S1</v>
      </c>
      <c r="D51" s="196" t="s">
        <v>1148</v>
      </c>
    </row>
    <row r="52" spans="1:4" x14ac:dyDescent="0.3">
      <c r="A52" s="196" t="s">
        <v>1150</v>
      </c>
      <c r="B52" s="196" t="s">
        <v>1151</v>
      </c>
      <c r="C52" t="str">
        <f t="shared" si="0"/>
        <v>A03T037-Serres type S2</v>
      </c>
      <c r="D52" s="196" t="s">
        <v>1150</v>
      </c>
    </row>
    <row r="53" spans="1:4" x14ac:dyDescent="0.3">
      <c r="A53" s="196" t="s">
        <v>1152</v>
      </c>
      <c r="B53" s="196" t="s">
        <v>1153</v>
      </c>
      <c r="C53" t="str">
        <f t="shared" si="0"/>
        <v>A03T038-Serres type S18</v>
      </c>
      <c r="D53" s="196" t="s">
        <v>1152</v>
      </c>
    </row>
    <row r="54" spans="1:4" x14ac:dyDescent="0.3">
      <c r="A54" s="196" t="s">
        <v>1154</v>
      </c>
      <c r="B54" s="196" t="s">
        <v>1155</v>
      </c>
      <c r="C54" t="str">
        <f t="shared" si="0"/>
        <v>A04T001-Autres opérations (dont hors C3)</v>
      </c>
      <c r="D54" s="196" t="s">
        <v>1154</v>
      </c>
    </row>
    <row r="55" spans="1:4" x14ac:dyDescent="0.3">
      <c r="A55" s="196" t="s">
        <v>1156</v>
      </c>
      <c r="B55" s="196" t="s">
        <v>1157</v>
      </c>
      <c r="C55" t="str">
        <f t="shared" si="0"/>
        <v>A05T001-Patrimoine prof. projet 1</v>
      </c>
      <c r="D55" s="196" t="s">
        <v>1156</v>
      </c>
    </row>
    <row r="56" spans="1:4" x14ac:dyDescent="0.3">
      <c r="A56" s="196" t="s">
        <v>1158</v>
      </c>
      <c r="B56" s="196" t="s">
        <v>1159</v>
      </c>
      <c r="C56" t="str">
        <f t="shared" si="0"/>
        <v>A05T002-Patrimoine prof. projet 2</v>
      </c>
      <c r="D56" s="196" t="s">
        <v>1158</v>
      </c>
    </row>
    <row r="57" spans="1:4" x14ac:dyDescent="0.3">
      <c r="A57" s="196" t="s">
        <v>1160</v>
      </c>
      <c r="B57" s="196" t="s">
        <v>1161</v>
      </c>
      <c r="C57" t="str">
        <f t="shared" si="0"/>
        <v>A05T003-CPER 1</v>
      </c>
      <c r="D57" s="196" t="s">
        <v>1160</v>
      </c>
    </row>
    <row r="58" spans="1:4" x14ac:dyDescent="0.3">
      <c r="A58" s="196" t="s">
        <v>1162</v>
      </c>
      <c r="B58" s="196" t="s">
        <v>1163</v>
      </c>
      <c r="C58" t="str">
        <f t="shared" si="0"/>
        <v>A06T001-Gestion et entretien courant du site - Montpellier</v>
      </c>
      <c r="D58" s="196" t="s">
        <v>1162</v>
      </c>
    </row>
    <row r="59" spans="1:4" x14ac:dyDescent="0.3">
      <c r="A59" s="196" t="s">
        <v>1164</v>
      </c>
      <c r="B59" s="196" t="s">
        <v>1165</v>
      </c>
      <c r="C59" t="str">
        <f t="shared" si="0"/>
        <v>A06T002-Gestion et entretien courant du site - Paris</v>
      </c>
      <c r="D59" s="196" t="s">
        <v>1164</v>
      </c>
    </row>
    <row r="60" spans="1:4" x14ac:dyDescent="0.3">
      <c r="A60" s="196" t="s">
        <v>1166</v>
      </c>
      <c r="B60" s="196" t="s">
        <v>1167</v>
      </c>
      <c r="C60" t="str">
        <f t="shared" si="0"/>
        <v>A06T003-Gestion et entretien courant du site - Nogent</v>
      </c>
      <c r="D60" s="196" t="s">
        <v>1166</v>
      </c>
    </row>
    <row r="61" spans="1:4" x14ac:dyDescent="0.3">
      <c r="A61" s="196" t="s">
        <v>1168</v>
      </c>
      <c r="B61" s="196" t="s">
        <v>1169</v>
      </c>
      <c r="C61" t="str">
        <f t="shared" si="0"/>
        <v>A06T004-Gestion et entretien courant du site - Site Dom</v>
      </c>
      <c r="D61" s="196" t="s">
        <v>1168</v>
      </c>
    </row>
    <row r="62" spans="1:4" x14ac:dyDescent="0.3">
      <c r="A62" s="196" t="s">
        <v>1170</v>
      </c>
      <c r="B62" s="196" t="s">
        <v>1171</v>
      </c>
      <c r="C62" t="str">
        <f t="shared" si="0"/>
        <v>A06T005-Projet réfection réseaux alim. eau potable</v>
      </c>
      <c r="D62" s="196" t="s">
        <v>1170</v>
      </c>
    </row>
    <row r="63" spans="1:4" x14ac:dyDescent="0.3">
      <c r="A63" s="196" t="s">
        <v>1172</v>
      </c>
      <c r="B63" s="196" t="s">
        <v>1173</v>
      </c>
      <c r="C63" t="str">
        <f t="shared" si="0"/>
        <v>A06T006-Projet accessibilité aux personnes à mobilité réduite</v>
      </c>
      <c r="D63" s="196" t="s">
        <v>1172</v>
      </c>
    </row>
    <row r="64" spans="1:4" x14ac:dyDescent="0.3">
      <c r="A64" s="196" t="s">
        <v>1174</v>
      </c>
      <c r="B64" s="196" t="s">
        <v>1175</v>
      </c>
      <c r="C64" t="str">
        <f t="shared" si="0"/>
        <v>A06T007-Projet réfection tableaux généraux basse tension Lav.</v>
      </c>
      <c r="D64" s="196" t="s">
        <v>1174</v>
      </c>
    </row>
    <row r="65" spans="1:4" x14ac:dyDescent="0.3">
      <c r="A65" s="196" t="s">
        <v>1176</v>
      </c>
      <c r="B65" s="196" t="s">
        <v>1177</v>
      </c>
      <c r="C65" t="str">
        <f t="shared" si="0"/>
        <v>A07T001-Exploitation du patrimoine et infrastructures - Montpellier</v>
      </c>
      <c r="D65" s="196" t="s">
        <v>1176</v>
      </c>
    </row>
    <row r="66" spans="1:4" x14ac:dyDescent="0.3">
      <c r="A66" s="196" t="s">
        <v>1178</v>
      </c>
      <c r="B66" s="196" t="s">
        <v>1179</v>
      </c>
      <c r="C66" t="str">
        <f t="shared" si="0"/>
        <v>A07T002-Exploitation du patrimoine et des infrastructures - Paris</v>
      </c>
      <c r="D66" s="196" t="s">
        <v>1178</v>
      </c>
    </row>
    <row r="67" spans="1:4" x14ac:dyDescent="0.3">
      <c r="A67" s="196" t="s">
        <v>1180</v>
      </c>
      <c r="B67" s="196" t="s">
        <v>1181</v>
      </c>
      <c r="C67" t="str">
        <f t="shared" si="0"/>
        <v>A07T003-Exploitation du patrimoine et des infrastructures - Nogent</v>
      </c>
      <c r="D67" s="196" t="s">
        <v>1180</v>
      </c>
    </row>
    <row r="68" spans="1:4" x14ac:dyDescent="0.3">
      <c r="A68" s="196" t="s">
        <v>1182</v>
      </c>
      <c r="B68" s="196" t="s">
        <v>1183</v>
      </c>
      <c r="C68" t="str">
        <f t="shared" ref="C68:C113" si="1">A68&amp;"-"&amp;B68</f>
        <v>A07T004-Exploitation du patrimoine et des infrastructures - Site Dom</v>
      </c>
      <c r="D68" s="196" t="s">
        <v>1182</v>
      </c>
    </row>
    <row r="69" spans="1:4" x14ac:dyDescent="0.3">
      <c r="A69" s="196" t="s">
        <v>1184</v>
      </c>
      <c r="B69" s="196" t="s">
        <v>1185</v>
      </c>
      <c r="C69" t="str">
        <f t="shared" si="1"/>
        <v>A08T001-Restauration du personnel</v>
      </c>
      <c r="D69" s="196" t="s">
        <v>1184</v>
      </c>
    </row>
    <row r="70" spans="1:4" x14ac:dyDescent="0.3">
      <c r="A70" s="196" t="s">
        <v>1186</v>
      </c>
      <c r="B70" s="196" t="s">
        <v>1187</v>
      </c>
      <c r="C70" t="str">
        <f t="shared" si="1"/>
        <v>A08T002-Téléphonie</v>
      </c>
      <c r="D70" s="196" t="s">
        <v>1186</v>
      </c>
    </row>
    <row r="71" spans="1:4" x14ac:dyDescent="0.3">
      <c r="A71" s="196" t="s">
        <v>1188</v>
      </c>
      <c r="B71" s="196" t="s">
        <v>1189</v>
      </c>
      <c r="C71" t="str">
        <f t="shared" si="1"/>
        <v>A08T003-Affranchissement</v>
      </c>
      <c r="D71" s="196" t="s">
        <v>1188</v>
      </c>
    </row>
    <row r="72" spans="1:4" x14ac:dyDescent="0.3">
      <c r="A72" s="196" t="s">
        <v>1190</v>
      </c>
      <c r="B72" s="196" t="s">
        <v>1191</v>
      </c>
      <c r="C72" t="str">
        <f t="shared" si="1"/>
        <v>A08T004-Sécurisation des sites</v>
      </c>
      <c r="D72" s="196" t="s">
        <v>1190</v>
      </c>
    </row>
    <row r="73" spans="1:4" x14ac:dyDescent="0.3">
      <c r="A73" s="196" t="s">
        <v>1192</v>
      </c>
      <c r="B73" s="196" t="s">
        <v>1193</v>
      </c>
      <c r="C73" t="str">
        <f t="shared" si="1"/>
        <v>A08T005-Nettoyage des locaux</v>
      </c>
      <c r="D73" s="196" t="s">
        <v>1192</v>
      </c>
    </row>
    <row r="74" spans="1:4" x14ac:dyDescent="0.3">
      <c r="A74" s="196" t="s">
        <v>1194</v>
      </c>
      <c r="B74" s="196" t="s">
        <v>1195</v>
      </c>
      <c r="C74" t="str">
        <f t="shared" si="1"/>
        <v>A08T006-Multiservice Montpellier</v>
      </c>
      <c r="D74" s="196" t="s">
        <v>1194</v>
      </c>
    </row>
    <row r="75" spans="1:4" x14ac:dyDescent="0.3">
      <c r="A75" s="196" t="s">
        <v>1196</v>
      </c>
      <c r="B75" s="196" t="s">
        <v>1197</v>
      </c>
      <c r="C75" t="str">
        <f t="shared" si="1"/>
        <v>A08T007-Multiservice Paris</v>
      </c>
      <c r="D75" s="196" t="s">
        <v>1196</v>
      </c>
    </row>
    <row r="76" spans="1:4" x14ac:dyDescent="0.3">
      <c r="A76" s="196" t="s">
        <v>1198</v>
      </c>
      <c r="B76" s="196" t="s">
        <v>1199</v>
      </c>
      <c r="C76" t="str">
        <f t="shared" si="1"/>
        <v>A08T008-Multiservice Site Dom</v>
      </c>
      <c r="D76" s="196" t="s">
        <v>1198</v>
      </c>
    </row>
    <row r="77" spans="1:4" x14ac:dyDescent="0.3">
      <c r="A77" s="196" t="s">
        <v>1200</v>
      </c>
      <c r="B77" s="196" t="s">
        <v>1201</v>
      </c>
      <c r="C77" t="str">
        <f t="shared" si="1"/>
        <v>A08T009-Pool de véhicules</v>
      </c>
      <c r="D77" s="196" t="s">
        <v>1200</v>
      </c>
    </row>
    <row r="78" spans="1:4" x14ac:dyDescent="0.3">
      <c r="A78" s="196" t="s">
        <v>1202</v>
      </c>
      <c r="B78" s="196" t="s">
        <v>1203</v>
      </c>
      <c r="C78" t="str">
        <f t="shared" si="1"/>
        <v>A08T010-Autres services</v>
      </c>
      <c r="D78" s="196" t="s">
        <v>1202</v>
      </c>
    </row>
    <row r="79" spans="1:4" x14ac:dyDescent="0.3">
      <c r="A79" s="196" t="s">
        <v>1204</v>
      </c>
      <c r="B79" s="196" t="s">
        <v>1205</v>
      </c>
      <c r="C79" t="str">
        <f t="shared" si="1"/>
        <v>A09T000-Patrimoine à usage non professionnel</v>
      </c>
      <c r="D79" s="196" t="s">
        <v>1204</v>
      </c>
    </row>
    <row r="80" spans="1:4" x14ac:dyDescent="0.3">
      <c r="A80" s="196" t="s">
        <v>1206</v>
      </c>
      <c r="B80" s="196" t="s">
        <v>1207</v>
      </c>
      <c r="C80" t="str">
        <f t="shared" si="1"/>
        <v>A10T001-Evènements externes autres que SIA</v>
      </c>
      <c r="D80" s="196" t="s">
        <v>1206</v>
      </c>
    </row>
    <row r="81" spans="1:4" x14ac:dyDescent="0.3">
      <c r="A81" s="196" t="s">
        <v>1208</v>
      </c>
      <c r="B81" s="196" t="s">
        <v>1209</v>
      </c>
      <c r="C81" t="str">
        <f t="shared" si="1"/>
        <v>A10T002-Evènements internes</v>
      </c>
      <c r="D81" s="196" t="s">
        <v>1208</v>
      </c>
    </row>
    <row r="82" spans="1:4" x14ac:dyDescent="0.3">
      <c r="A82" s="196" t="s">
        <v>1210</v>
      </c>
      <c r="B82" s="196" t="s">
        <v>1211</v>
      </c>
      <c r="C82" t="str">
        <f t="shared" si="1"/>
        <v>A10T003-SIA 2018</v>
      </c>
      <c r="D82" s="196" t="s">
        <v>1210</v>
      </c>
    </row>
    <row r="83" spans="1:4" x14ac:dyDescent="0.3">
      <c r="A83" s="196" t="s">
        <v>1212</v>
      </c>
      <c r="B83" s="196" t="s">
        <v>1213</v>
      </c>
      <c r="C83" t="str">
        <f t="shared" si="1"/>
        <v>A10T004-SIA 2019</v>
      </c>
      <c r="D83" s="196" t="s">
        <v>1212</v>
      </c>
    </row>
    <row r="84" spans="1:4" x14ac:dyDescent="0.3">
      <c r="A84" s="196" t="s">
        <v>1214</v>
      </c>
      <c r="B84" s="196" t="s">
        <v>1215</v>
      </c>
      <c r="C84" t="str">
        <f t="shared" si="1"/>
        <v>A10T005-SIA 2020</v>
      </c>
      <c r="D84" s="196" t="s">
        <v>1214</v>
      </c>
    </row>
    <row r="85" spans="1:4" x14ac:dyDescent="0.3">
      <c r="A85" s="196" t="s">
        <v>1216</v>
      </c>
      <c r="B85" s="196" t="s">
        <v>1217</v>
      </c>
      <c r="C85" t="str">
        <f t="shared" si="1"/>
        <v>A11T001-Solutions SI projet 1</v>
      </c>
      <c r="D85" s="196" t="s">
        <v>1216</v>
      </c>
    </row>
    <row r="86" spans="1:4" x14ac:dyDescent="0.3">
      <c r="A86" s="196" t="s">
        <v>1218</v>
      </c>
      <c r="B86" s="196" t="s">
        <v>1219</v>
      </c>
      <c r="C86" t="str">
        <f t="shared" si="1"/>
        <v>A11T002-Solutions SI Projet 2…</v>
      </c>
      <c r="D86" s="196" t="s">
        <v>1218</v>
      </c>
    </row>
    <row r="87" spans="1:4" x14ac:dyDescent="0.3">
      <c r="A87" s="196" t="s">
        <v>1220</v>
      </c>
      <c r="B87" s="196" t="s">
        <v>1221</v>
      </c>
      <c r="C87" t="str">
        <f t="shared" si="1"/>
        <v>A12T001-Evolution du SI existant appui à la recherche</v>
      </c>
      <c r="D87" s="196" t="s">
        <v>1220</v>
      </c>
    </row>
    <row r="88" spans="1:4" x14ac:dyDescent="0.3">
      <c r="A88" s="196" t="s">
        <v>1222</v>
      </c>
      <c r="B88" s="196" t="s">
        <v>1223</v>
      </c>
      <c r="C88" t="str">
        <f t="shared" si="1"/>
        <v>A12T002-Evolution du SI existant appui à la gestion</v>
      </c>
      <c r="D88" s="196" t="s">
        <v>1222</v>
      </c>
    </row>
    <row r="89" spans="1:4" x14ac:dyDescent="0.3">
      <c r="A89" s="196" t="s">
        <v>1224</v>
      </c>
      <c r="B89" s="196" t="s">
        <v>1225</v>
      </c>
      <c r="C89" t="str">
        <f t="shared" si="1"/>
        <v>A12T003-Sécurité du SI</v>
      </c>
      <c r="D89" s="196" t="s">
        <v>1224</v>
      </c>
    </row>
    <row r="90" spans="1:4" x14ac:dyDescent="0.3">
      <c r="A90" s="196" t="s">
        <v>1226</v>
      </c>
      <c r="B90" s="196" t="s">
        <v>1227</v>
      </c>
      <c r="C90" t="str">
        <f t="shared" si="1"/>
        <v>A12T004-Maintenance externalisée du SI</v>
      </c>
      <c r="D90" s="196" t="s">
        <v>1226</v>
      </c>
    </row>
    <row r="91" spans="1:4" x14ac:dyDescent="0.3">
      <c r="A91" s="196" t="s">
        <v>1228</v>
      </c>
      <c r="B91" s="196" t="s">
        <v>1229</v>
      </c>
      <c r="C91" t="str">
        <f t="shared" si="1"/>
        <v>A13T001-Assistance informatique</v>
      </c>
      <c r="D91" s="196" t="s">
        <v>1228</v>
      </c>
    </row>
    <row r="92" spans="1:4" x14ac:dyDescent="0.3">
      <c r="A92" s="196" t="s">
        <v>1230</v>
      </c>
      <c r="B92" s="196" t="s">
        <v>1231</v>
      </c>
      <c r="C92" t="str">
        <f t="shared" si="1"/>
        <v>A13T002-Suivi des services au catalogue DSI</v>
      </c>
      <c r="D92" s="196" t="s">
        <v>1230</v>
      </c>
    </row>
    <row r="93" spans="1:4" x14ac:dyDescent="0.3">
      <c r="A93" s="196" t="s">
        <v>1232</v>
      </c>
      <c r="B93" s="196" t="s">
        <v>1233</v>
      </c>
      <c r="C93" t="str">
        <f t="shared" si="1"/>
        <v>A99T001-Formation professionnelle hors FAFSEA</v>
      </c>
      <c r="D93" s="196" t="s">
        <v>1232</v>
      </c>
    </row>
    <row r="94" spans="1:4" x14ac:dyDescent="0.3">
      <c r="A94" s="196" t="s">
        <v>1234</v>
      </c>
      <c r="B94" s="196" t="s">
        <v>1235</v>
      </c>
      <c r="C94" t="str">
        <f t="shared" si="1"/>
        <v>A99T002-Ingénierie formation FAFSEA</v>
      </c>
      <c r="D94" s="196" t="s">
        <v>1234</v>
      </c>
    </row>
    <row r="95" spans="1:4" x14ac:dyDescent="0.3">
      <c r="A95" s="196" t="s">
        <v>1236</v>
      </c>
      <c r="B95" s="196" t="s">
        <v>1237</v>
      </c>
      <c r="C95" t="str">
        <f t="shared" si="1"/>
        <v>A99T003-CE</v>
      </c>
      <c r="D95" s="196" t="s">
        <v>1236</v>
      </c>
    </row>
    <row r="96" spans="1:4" x14ac:dyDescent="0.3">
      <c r="A96" s="196" t="s">
        <v>1238</v>
      </c>
      <c r="B96" s="196" t="s">
        <v>1239</v>
      </c>
      <c r="C96" t="str">
        <f t="shared" si="1"/>
        <v>A99T004-Accompagnement social</v>
      </c>
      <c r="D96" s="196" t="s">
        <v>1238</v>
      </c>
    </row>
    <row r="97" spans="1:4" x14ac:dyDescent="0.3">
      <c r="A97" s="196" t="s">
        <v>1240</v>
      </c>
      <c r="B97" s="196" t="s">
        <v>1241</v>
      </c>
      <c r="C97" t="str">
        <f t="shared" si="1"/>
        <v>A99T005-Campus hors AI et fonct hors boursiers</v>
      </c>
      <c r="D97" s="196" t="s">
        <v>1240</v>
      </c>
    </row>
    <row r="98" spans="1:4" x14ac:dyDescent="0.3">
      <c r="A98" s="196" t="s">
        <v>1242</v>
      </c>
      <c r="B98" s="196" t="s">
        <v>1243</v>
      </c>
      <c r="C98" t="str">
        <f t="shared" si="1"/>
        <v>A99T006-Mobilité (Assistance et subvention voyages)</v>
      </c>
      <c r="D98" s="196" t="s">
        <v>1242</v>
      </c>
    </row>
    <row r="99" spans="1:4" x14ac:dyDescent="0.3">
      <c r="A99" s="196" t="s">
        <v>1244</v>
      </c>
      <c r="B99" s="196" t="s">
        <v>1245</v>
      </c>
      <c r="C99" t="str">
        <f t="shared" si="1"/>
        <v>A99T007-Pôle emploi</v>
      </c>
      <c r="D99" s="196" t="s">
        <v>1244</v>
      </c>
    </row>
    <row r="100" spans="1:4" x14ac:dyDescent="0.3">
      <c r="A100" s="196" t="s">
        <v>1246</v>
      </c>
      <c r="B100" s="196" t="s">
        <v>1247</v>
      </c>
      <c r="C100" t="str">
        <f t="shared" si="1"/>
        <v>A99T008-Indemnités fin de carrières</v>
      </c>
      <c r="D100" s="196" t="s">
        <v>1246</v>
      </c>
    </row>
    <row r="101" spans="1:4" x14ac:dyDescent="0.3">
      <c r="A101" s="196" t="s">
        <v>1248</v>
      </c>
      <c r="B101" s="196" t="s">
        <v>1249</v>
      </c>
      <c r="C101" t="str">
        <f t="shared" si="1"/>
        <v>A99T009-Contentieux</v>
      </c>
      <c r="D101" s="196" t="s">
        <v>1248</v>
      </c>
    </row>
    <row r="102" spans="1:4" x14ac:dyDescent="0.3">
      <c r="A102" s="196" t="s">
        <v>1250</v>
      </c>
      <c r="B102" s="196" t="s">
        <v>1251</v>
      </c>
      <c r="C102" t="str">
        <f t="shared" si="1"/>
        <v>A99T010-Evaluation individuelle et des collectifs</v>
      </c>
      <c r="D102" s="196" t="s">
        <v>1250</v>
      </c>
    </row>
    <row r="103" spans="1:4" x14ac:dyDescent="0.3">
      <c r="A103" s="196" t="s">
        <v>1252</v>
      </c>
      <c r="B103" s="196" t="s">
        <v>1253</v>
      </c>
      <c r="C103" t="str">
        <f t="shared" si="1"/>
        <v>A99T011-Achats IST à usage tout Cirad</v>
      </c>
      <c r="D103" s="196" t="s">
        <v>1252</v>
      </c>
    </row>
    <row r="104" spans="1:4" x14ac:dyDescent="0.3">
      <c r="A104" s="196" t="s">
        <v>1254</v>
      </c>
      <c r="B104" s="196" t="s">
        <v>1255</v>
      </c>
      <c r="C104" t="str">
        <f t="shared" si="1"/>
        <v>A99T012-Edition (revues et soutien éditorial)</v>
      </c>
      <c r="D104" s="196" t="s">
        <v>1254</v>
      </c>
    </row>
    <row r="105" spans="1:4" x14ac:dyDescent="0.3">
      <c r="A105" s="196" t="s">
        <v>1256</v>
      </c>
      <c r="B105" s="196" t="s">
        <v>1257</v>
      </c>
      <c r="C105" t="str">
        <f t="shared" si="1"/>
        <v>A99T013-Propriété intellectuelle</v>
      </c>
      <c r="D105" s="196" t="s">
        <v>1256</v>
      </c>
    </row>
    <row r="106" spans="1:4" x14ac:dyDescent="0.3">
      <c r="A106" s="196" t="s">
        <v>1258</v>
      </c>
      <c r="B106" s="196" t="s">
        <v>1259</v>
      </c>
      <c r="C106" t="str">
        <f t="shared" si="1"/>
        <v>A99T014-Côtisations institutionnelles</v>
      </c>
      <c r="D106" s="196" t="s">
        <v>1258</v>
      </c>
    </row>
    <row r="107" spans="1:4" x14ac:dyDescent="0.3">
      <c r="A107" s="196" t="s">
        <v>1260</v>
      </c>
      <c r="B107" s="196" t="s">
        <v>1261</v>
      </c>
      <c r="C107" t="str">
        <f t="shared" si="1"/>
        <v>A99T015-Patrimoine numérique</v>
      </c>
      <c r="D107" s="196" t="s">
        <v>1260</v>
      </c>
    </row>
    <row r="108" spans="1:4" x14ac:dyDescent="0.3">
      <c r="A108" s="196" t="s">
        <v>1262</v>
      </c>
      <c r="B108" s="196" t="s">
        <v>1263</v>
      </c>
      <c r="C108" t="str">
        <f t="shared" si="1"/>
        <v>A99T016-Consortium Agreenium</v>
      </c>
      <c r="D108" s="196" t="s">
        <v>1262</v>
      </c>
    </row>
    <row r="109" spans="1:4" x14ac:dyDescent="0.3">
      <c r="A109" s="196" t="s">
        <v>1264</v>
      </c>
      <c r="B109" s="196" t="s">
        <v>1265</v>
      </c>
      <c r="C109" t="str">
        <f t="shared" si="1"/>
        <v>A99T017-Impact de la recherche</v>
      </c>
      <c r="D109" s="196" t="s">
        <v>1264</v>
      </c>
    </row>
    <row r="110" spans="1:4" x14ac:dyDescent="0.3">
      <c r="A110" s="196" t="s">
        <v>1266</v>
      </c>
      <c r="B110" s="196" t="s">
        <v>1267</v>
      </c>
      <c r="C110" t="str">
        <f t="shared" si="1"/>
        <v>A99T018-Correspondants filières</v>
      </c>
      <c r="D110" s="196" t="s">
        <v>1266</v>
      </c>
    </row>
    <row r="111" spans="1:4" x14ac:dyDescent="0.3">
      <c r="A111" s="196" t="s">
        <v>1268</v>
      </c>
      <c r="B111" s="196" t="s">
        <v>1269</v>
      </c>
      <c r="C111" t="str">
        <f t="shared" si="1"/>
        <v>A99T019-Soutien projets européens</v>
      </c>
      <c r="D111" s="196" t="s">
        <v>1268</v>
      </c>
    </row>
    <row r="112" spans="1:4" x14ac:dyDescent="0.3">
      <c r="A112" s="196" t="s">
        <v>1270</v>
      </c>
      <c r="B112" s="196" t="s">
        <v>1271</v>
      </c>
      <c r="C112" t="str">
        <f t="shared" si="1"/>
        <v>A99T020-Filiales</v>
      </c>
      <c r="D112" s="196" t="s">
        <v>1270</v>
      </c>
    </row>
    <row r="113" spans="1:4" x14ac:dyDescent="0.3">
      <c r="A113" s="196" t="s">
        <v>1272</v>
      </c>
      <c r="B113" s="196" t="s">
        <v>1273</v>
      </c>
      <c r="C113" t="str">
        <f t="shared" si="1"/>
        <v>A99T021-Autres dossiers spécifiques DCAF</v>
      </c>
      <c r="D113" s="196" t="s">
        <v>1272</v>
      </c>
    </row>
  </sheetData>
  <sheetProtection algorithmName="SHA-512" hashValue="jjCwtA/PwkUjmegnc8JTt89gAt3RI+WHQH1fisx+IKsq7G/3H7Caer2BJ3zApR/k8E+h+uMF32KnzUw4nT4gLw==" saltValue="Rn5s+1BbOaUl/6X3Ld+ANQ==" spinCount="100000" sheet="1" objects="1" scenarios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54"/>
  <sheetViews>
    <sheetView topLeftCell="A181" workbookViewId="0">
      <selection activeCell="C8" sqref="C8"/>
    </sheetView>
  </sheetViews>
  <sheetFormatPr defaultColWidth="11.44140625" defaultRowHeight="14.4" x14ac:dyDescent="0.3"/>
  <cols>
    <col min="1" max="1" width="14.44140625" bestFit="1" customWidth="1"/>
    <col min="2" max="2" width="41.88671875" bestFit="1" customWidth="1"/>
    <col min="3" max="3" width="44.88671875" bestFit="1" customWidth="1"/>
    <col min="4" max="4" width="14.44140625" bestFit="1" customWidth="1"/>
  </cols>
  <sheetData>
    <row r="1" spans="1:4" x14ac:dyDescent="0.3">
      <c r="A1" s="195" t="s">
        <v>917</v>
      </c>
      <c r="B1" s="195" t="s">
        <v>918</v>
      </c>
      <c r="C1" s="195" t="s">
        <v>919</v>
      </c>
      <c r="D1" s="195" t="s">
        <v>917</v>
      </c>
    </row>
    <row r="2" spans="1:4" x14ac:dyDescent="0.3">
      <c r="A2" s="196" t="s">
        <v>675</v>
      </c>
      <c r="B2" s="196" t="s">
        <v>1274</v>
      </c>
      <c r="C2" t="str">
        <f>A2&amp;"-"&amp;B2</f>
        <v>AD-Andorre</v>
      </c>
      <c r="D2" s="196" t="s">
        <v>675</v>
      </c>
    </row>
    <row r="3" spans="1:4" x14ac:dyDescent="0.3">
      <c r="A3" s="196" t="s">
        <v>726</v>
      </c>
      <c r="B3" s="196" t="s">
        <v>1275</v>
      </c>
      <c r="C3" t="str">
        <f t="shared" ref="C3:C66" si="0">A3&amp;"-"&amp;B3</f>
        <v>AE-Émirats arabes unis</v>
      </c>
      <c r="D3" s="196" t="s">
        <v>726</v>
      </c>
    </row>
    <row r="4" spans="1:4" x14ac:dyDescent="0.3">
      <c r="A4" s="196" t="s">
        <v>664</v>
      </c>
      <c r="B4" s="196" t="s">
        <v>1276</v>
      </c>
      <c r="C4" t="str">
        <f t="shared" si="0"/>
        <v>AF-Afghanistan</v>
      </c>
      <c r="D4" s="196" t="s">
        <v>664</v>
      </c>
    </row>
    <row r="5" spans="1:4" x14ac:dyDescent="0.3">
      <c r="A5" s="196" t="s">
        <v>679</v>
      </c>
      <c r="B5" s="196" t="s">
        <v>1277</v>
      </c>
      <c r="C5" t="str">
        <f t="shared" si="0"/>
        <v>AG-Antigua-et-Barbuda</v>
      </c>
      <c r="D5" s="196" t="s">
        <v>679</v>
      </c>
    </row>
    <row r="6" spans="1:4" x14ac:dyDescent="0.3">
      <c r="A6" s="196" t="s">
        <v>677</v>
      </c>
      <c r="B6" s="196" t="s">
        <v>1278</v>
      </c>
      <c r="C6" t="str">
        <f t="shared" si="0"/>
        <v>AI-Anguilla</v>
      </c>
      <c r="D6" s="196" t="s">
        <v>677</v>
      </c>
    </row>
    <row r="7" spans="1:4" x14ac:dyDescent="0.3">
      <c r="A7" s="196" t="s">
        <v>590</v>
      </c>
      <c r="B7" s="196" t="s">
        <v>1279</v>
      </c>
      <c r="C7" t="str">
        <f t="shared" si="0"/>
        <v>AL-Albanie</v>
      </c>
      <c r="D7" s="196" t="s">
        <v>590</v>
      </c>
    </row>
    <row r="8" spans="1:4" x14ac:dyDescent="0.3">
      <c r="A8" s="196" t="s">
        <v>681</v>
      </c>
      <c r="B8" s="196" t="s">
        <v>1280</v>
      </c>
      <c r="C8" t="str">
        <f t="shared" si="0"/>
        <v>AM-Arménie</v>
      </c>
      <c r="D8" s="196" t="s">
        <v>681</v>
      </c>
    </row>
    <row r="9" spans="1:4" x14ac:dyDescent="0.3">
      <c r="A9" s="196" t="s">
        <v>665</v>
      </c>
      <c r="B9" s="196" t="s">
        <v>1281</v>
      </c>
      <c r="C9" t="str">
        <f t="shared" si="0"/>
        <v>AN-Antilles néerlandaises</v>
      </c>
      <c r="D9" s="196" t="s">
        <v>665</v>
      </c>
    </row>
    <row r="10" spans="1:4" x14ac:dyDescent="0.3">
      <c r="A10" s="196" t="s">
        <v>676</v>
      </c>
      <c r="B10" s="196" t="s">
        <v>1282</v>
      </c>
      <c r="C10" t="str">
        <f t="shared" si="0"/>
        <v>AO-Angola</v>
      </c>
      <c r="D10" s="196" t="s">
        <v>676</v>
      </c>
    </row>
    <row r="11" spans="1:4" x14ac:dyDescent="0.3">
      <c r="A11" s="196" t="s">
        <v>678</v>
      </c>
      <c r="B11" s="196" t="s">
        <v>1283</v>
      </c>
      <c r="C11" t="str">
        <f t="shared" si="0"/>
        <v>AQ-Antarctique</v>
      </c>
      <c r="D11" s="196" t="s">
        <v>678</v>
      </c>
    </row>
    <row r="12" spans="1:4" x14ac:dyDescent="0.3">
      <c r="A12" s="196" t="s">
        <v>591</v>
      </c>
      <c r="B12" s="196" t="s">
        <v>1284</v>
      </c>
      <c r="C12" t="str">
        <f t="shared" si="0"/>
        <v>AR-Argentine</v>
      </c>
      <c r="D12" s="196" t="s">
        <v>591</v>
      </c>
    </row>
    <row r="13" spans="1:4" x14ac:dyDescent="0.3">
      <c r="A13" s="196" t="s">
        <v>850</v>
      </c>
      <c r="B13" s="196" t="s">
        <v>1285</v>
      </c>
      <c r="C13" t="str">
        <f t="shared" si="0"/>
        <v>AS-Samoa américaines</v>
      </c>
      <c r="D13" s="196" t="s">
        <v>850</v>
      </c>
    </row>
    <row r="14" spans="1:4" x14ac:dyDescent="0.3">
      <c r="A14" s="196" t="s">
        <v>683</v>
      </c>
      <c r="B14" s="196" t="s">
        <v>1286</v>
      </c>
      <c r="C14" t="str">
        <f t="shared" si="0"/>
        <v>AT-Autriche</v>
      </c>
      <c r="D14" s="196" t="s">
        <v>683</v>
      </c>
    </row>
    <row r="15" spans="1:4" x14ac:dyDescent="0.3">
      <c r="A15" s="196" t="s">
        <v>666</v>
      </c>
      <c r="B15" s="196" t="s">
        <v>1287</v>
      </c>
      <c r="C15" t="str">
        <f t="shared" si="0"/>
        <v>AU-Australie</v>
      </c>
      <c r="D15" s="196" t="s">
        <v>666</v>
      </c>
    </row>
    <row r="16" spans="1:4" x14ac:dyDescent="0.3">
      <c r="A16" s="196" t="s">
        <v>682</v>
      </c>
      <c r="B16" s="196" t="s">
        <v>1288</v>
      </c>
      <c r="C16" t="str">
        <f t="shared" si="0"/>
        <v>AW-Aruba</v>
      </c>
      <c r="D16" s="196" t="s">
        <v>682</v>
      </c>
    </row>
    <row r="17" spans="1:4" x14ac:dyDescent="0.3">
      <c r="A17" s="196" t="s">
        <v>672</v>
      </c>
      <c r="B17" s="196" t="s">
        <v>1289</v>
      </c>
      <c r="C17" t="str">
        <f t="shared" si="0"/>
        <v>AX-Îles Åland</v>
      </c>
      <c r="D17" s="196" t="s">
        <v>672</v>
      </c>
    </row>
    <row r="18" spans="1:4" x14ac:dyDescent="0.3">
      <c r="A18" s="196" t="s">
        <v>667</v>
      </c>
      <c r="B18" s="196" t="s">
        <v>1290</v>
      </c>
      <c r="C18" t="str">
        <f t="shared" si="0"/>
        <v>AZ-Azerbaïdjan</v>
      </c>
      <c r="D18" s="196" t="s">
        <v>667</v>
      </c>
    </row>
    <row r="19" spans="1:4" x14ac:dyDescent="0.3">
      <c r="A19" s="196" t="s">
        <v>668</v>
      </c>
      <c r="B19" s="196" t="s">
        <v>1291</v>
      </c>
      <c r="C19" t="str">
        <f t="shared" si="0"/>
        <v>BA-Bosnie-Herzégovine</v>
      </c>
      <c r="D19" s="196" t="s">
        <v>668</v>
      </c>
    </row>
    <row r="20" spans="1:4" x14ac:dyDescent="0.3">
      <c r="A20" s="196" t="s">
        <v>687</v>
      </c>
      <c r="B20" s="196" t="s">
        <v>1292</v>
      </c>
      <c r="C20" t="str">
        <f t="shared" si="0"/>
        <v>BB-Barbade</v>
      </c>
      <c r="D20" s="196" t="s">
        <v>687</v>
      </c>
    </row>
    <row r="21" spans="1:4" x14ac:dyDescent="0.3">
      <c r="A21" s="196" t="s">
        <v>686</v>
      </c>
      <c r="B21" s="196" t="s">
        <v>1293</v>
      </c>
      <c r="C21" t="str">
        <f t="shared" si="0"/>
        <v>BD-Bangladesh</v>
      </c>
      <c r="D21" s="196" t="s">
        <v>686</v>
      </c>
    </row>
    <row r="22" spans="1:4" x14ac:dyDescent="0.3">
      <c r="A22" s="196" t="s">
        <v>669</v>
      </c>
      <c r="B22" s="196" t="s">
        <v>1294</v>
      </c>
      <c r="C22" t="str">
        <f t="shared" si="0"/>
        <v>BE-Belgique</v>
      </c>
      <c r="D22" s="196" t="s">
        <v>669</v>
      </c>
    </row>
    <row r="23" spans="1:4" x14ac:dyDescent="0.3">
      <c r="A23" s="196" t="s">
        <v>589</v>
      </c>
      <c r="B23" s="196" t="s">
        <v>1295</v>
      </c>
      <c r="C23" t="str">
        <f t="shared" si="0"/>
        <v>BF-Burkina Faso</v>
      </c>
      <c r="D23" s="196" t="s">
        <v>589</v>
      </c>
    </row>
    <row r="24" spans="1:4" x14ac:dyDescent="0.3">
      <c r="A24" s="196" t="s">
        <v>697</v>
      </c>
      <c r="B24" s="196" t="s">
        <v>1296</v>
      </c>
      <c r="C24" t="str">
        <f t="shared" si="0"/>
        <v>BG-Bulgarie</v>
      </c>
      <c r="D24" s="196" t="s">
        <v>697</v>
      </c>
    </row>
    <row r="25" spans="1:4" x14ac:dyDescent="0.3">
      <c r="A25" s="196" t="s">
        <v>685</v>
      </c>
      <c r="B25" s="196" t="s">
        <v>1297</v>
      </c>
      <c r="C25" t="str">
        <f t="shared" si="0"/>
        <v>BH-Bahreïn</v>
      </c>
      <c r="D25" s="196" t="s">
        <v>685</v>
      </c>
    </row>
    <row r="26" spans="1:4" x14ac:dyDescent="0.3">
      <c r="A26" s="196" t="s">
        <v>698</v>
      </c>
      <c r="B26" s="196" t="s">
        <v>1298</v>
      </c>
      <c r="C26" t="str">
        <f t="shared" si="0"/>
        <v>BI-Burundi</v>
      </c>
      <c r="D26" s="196" t="s">
        <v>698</v>
      </c>
    </row>
    <row r="27" spans="1:4" x14ac:dyDescent="0.3">
      <c r="A27" s="196" t="s">
        <v>690</v>
      </c>
      <c r="B27" s="196" t="s">
        <v>1299</v>
      </c>
      <c r="C27" t="str">
        <f t="shared" si="0"/>
        <v>BJ-Bénin</v>
      </c>
      <c r="D27" s="196" t="s">
        <v>690</v>
      </c>
    </row>
    <row r="28" spans="1:4" x14ac:dyDescent="0.3">
      <c r="A28" s="196" t="s">
        <v>841</v>
      </c>
      <c r="B28" s="196" t="s">
        <v>1300</v>
      </c>
      <c r="C28" t="str">
        <f t="shared" si="0"/>
        <v>BL-Saint-Barthélemy</v>
      </c>
      <c r="D28" s="196" t="s">
        <v>841</v>
      </c>
    </row>
    <row r="29" spans="1:4" x14ac:dyDescent="0.3">
      <c r="A29" s="196" t="s">
        <v>691</v>
      </c>
      <c r="B29" s="196" t="s">
        <v>1301</v>
      </c>
      <c r="C29" t="str">
        <f t="shared" si="0"/>
        <v>BM-Bermudes</v>
      </c>
      <c r="D29" s="196" t="s">
        <v>691</v>
      </c>
    </row>
    <row r="30" spans="1:4" x14ac:dyDescent="0.3">
      <c r="A30" s="196" t="s">
        <v>696</v>
      </c>
      <c r="B30" s="196" t="s">
        <v>1302</v>
      </c>
      <c r="C30" t="str">
        <f t="shared" si="0"/>
        <v>BN-Brunei</v>
      </c>
      <c r="D30" s="196" t="s">
        <v>696</v>
      </c>
    </row>
    <row r="31" spans="1:4" x14ac:dyDescent="0.3">
      <c r="A31" s="196" t="s">
        <v>693</v>
      </c>
      <c r="B31" s="196" t="s">
        <v>1303</v>
      </c>
      <c r="C31" t="str">
        <f t="shared" si="0"/>
        <v>BO-Bolivie</v>
      </c>
      <c r="D31" s="196" t="s">
        <v>693</v>
      </c>
    </row>
    <row r="32" spans="1:4" x14ac:dyDescent="0.3">
      <c r="A32" s="196" t="s">
        <v>1304</v>
      </c>
      <c r="B32" s="196" t="s">
        <v>1305</v>
      </c>
      <c r="C32" t="str">
        <f t="shared" si="0"/>
        <v>BQ-Pays-Bas caribéens</v>
      </c>
      <c r="D32" s="196" t="s">
        <v>1304</v>
      </c>
    </row>
    <row r="33" spans="1:4" x14ac:dyDescent="0.3">
      <c r="A33" s="196" t="s">
        <v>660</v>
      </c>
      <c r="B33" s="196" t="s">
        <v>1306</v>
      </c>
      <c r="C33" t="str">
        <f t="shared" si="0"/>
        <v>BR-Brésil</v>
      </c>
      <c r="D33" s="196" t="s">
        <v>660</v>
      </c>
    </row>
    <row r="34" spans="1:4" x14ac:dyDescent="0.3">
      <c r="A34" s="196" t="s">
        <v>684</v>
      </c>
      <c r="B34" s="196" t="s">
        <v>1307</v>
      </c>
      <c r="C34" t="str">
        <f t="shared" si="0"/>
        <v>BS-Bahamas</v>
      </c>
      <c r="D34" s="196" t="s">
        <v>684</v>
      </c>
    </row>
    <row r="35" spans="1:4" x14ac:dyDescent="0.3">
      <c r="A35" s="196" t="s">
        <v>692</v>
      </c>
      <c r="B35" s="196" t="s">
        <v>1308</v>
      </c>
      <c r="C35" t="str">
        <f t="shared" si="0"/>
        <v>BT-Bhoutan</v>
      </c>
      <c r="D35" s="196" t="s">
        <v>692</v>
      </c>
    </row>
    <row r="36" spans="1:4" x14ac:dyDescent="0.3">
      <c r="A36" s="196" t="s">
        <v>695</v>
      </c>
      <c r="B36" s="196" t="s">
        <v>1309</v>
      </c>
      <c r="C36" t="str">
        <f t="shared" si="0"/>
        <v>BV-Île Bouvet</v>
      </c>
      <c r="D36" s="196" t="s">
        <v>695</v>
      </c>
    </row>
    <row r="37" spans="1:4" x14ac:dyDescent="0.3">
      <c r="A37" s="196" t="s">
        <v>694</v>
      </c>
      <c r="B37" s="196" t="s">
        <v>1310</v>
      </c>
      <c r="C37" t="str">
        <f t="shared" si="0"/>
        <v>BW-Botswana</v>
      </c>
      <c r="D37" s="196" t="s">
        <v>694</v>
      </c>
    </row>
    <row r="38" spans="1:4" x14ac:dyDescent="0.3">
      <c r="A38" s="196" t="s">
        <v>688</v>
      </c>
      <c r="B38" s="196" t="s">
        <v>1311</v>
      </c>
      <c r="C38" t="str">
        <f t="shared" si="0"/>
        <v>BY-Biélorussie</v>
      </c>
      <c r="D38" s="196" t="s">
        <v>688</v>
      </c>
    </row>
    <row r="39" spans="1:4" x14ac:dyDescent="0.3">
      <c r="A39" s="196" t="s">
        <v>689</v>
      </c>
      <c r="B39" s="196" t="s">
        <v>1312</v>
      </c>
      <c r="C39" t="str">
        <f t="shared" si="0"/>
        <v>BZ-Belize</v>
      </c>
      <c r="D39" s="196" t="s">
        <v>689</v>
      </c>
    </row>
    <row r="40" spans="1:4" x14ac:dyDescent="0.3">
      <c r="A40" s="196" t="s">
        <v>702</v>
      </c>
      <c r="B40" s="196" t="s">
        <v>1313</v>
      </c>
      <c r="C40" t="str">
        <f t="shared" si="0"/>
        <v>CA-Canada</v>
      </c>
      <c r="D40" s="196" t="s">
        <v>702</v>
      </c>
    </row>
    <row r="41" spans="1:4" x14ac:dyDescent="0.3">
      <c r="A41" s="196" t="s">
        <v>709</v>
      </c>
      <c r="B41" s="196" t="s">
        <v>1314</v>
      </c>
      <c r="C41" t="str">
        <f t="shared" si="0"/>
        <v>CC-Îles Cocos</v>
      </c>
      <c r="D41" s="196" t="s">
        <v>709</v>
      </c>
    </row>
    <row r="42" spans="1:4" x14ac:dyDescent="0.3">
      <c r="A42" s="196" t="s">
        <v>835</v>
      </c>
      <c r="B42" s="196" t="s">
        <v>1315</v>
      </c>
      <c r="C42" t="str">
        <f t="shared" si="0"/>
        <v>CD-République démocratique du Congo</v>
      </c>
      <c r="D42" s="196" t="s">
        <v>835</v>
      </c>
    </row>
    <row r="43" spans="1:4" x14ac:dyDescent="0.3">
      <c r="A43" s="196" t="s">
        <v>704</v>
      </c>
      <c r="B43" s="196" t="s">
        <v>1316</v>
      </c>
      <c r="C43" t="str">
        <f t="shared" si="0"/>
        <v>CF-République centrafricaine</v>
      </c>
      <c r="D43" s="196" t="s">
        <v>704</v>
      </c>
    </row>
    <row r="44" spans="1:4" x14ac:dyDescent="0.3">
      <c r="A44" s="196" t="s">
        <v>712</v>
      </c>
      <c r="B44" s="196" t="s">
        <v>1317</v>
      </c>
      <c r="C44" t="str">
        <f t="shared" si="0"/>
        <v>CG-République du Congo</v>
      </c>
      <c r="D44" s="196" t="s">
        <v>712</v>
      </c>
    </row>
    <row r="45" spans="1:4" x14ac:dyDescent="0.3">
      <c r="A45" s="196" t="s">
        <v>863</v>
      </c>
      <c r="B45" s="196" t="s">
        <v>1318</v>
      </c>
      <c r="C45" t="str">
        <f t="shared" si="0"/>
        <v>CH-Suisse</v>
      </c>
      <c r="D45" s="196" t="s">
        <v>863</v>
      </c>
    </row>
    <row r="46" spans="1:4" x14ac:dyDescent="0.3">
      <c r="A46" s="196" t="s">
        <v>717</v>
      </c>
      <c r="B46" s="196" t="s">
        <v>1319</v>
      </c>
      <c r="C46" t="str">
        <f t="shared" si="0"/>
        <v>CI-Côte d'Ivoire</v>
      </c>
      <c r="D46" s="196" t="s">
        <v>717</v>
      </c>
    </row>
    <row r="47" spans="1:4" x14ac:dyDescent="0.3">
      <c r="A47" s="196" t="s">
        <v>713</v>
      </c>
      <c r="B47" s="196" t="s">
        <v>1320</v>
      </c>
      <c r="C47" t="str">
        <f t="shared" si="0"/>
        <v>CK-Îles Cook</v>
      </c>
      <c r="D47" s="196" t="s">
        <v>713</v>
      </c>
    </row>
    <row r="48" spans="1:4" x14ac:dyDescent="0.3">
      <c r="A48" s="196" t="s">
        <v>705</v>
      </c>
      <c r="B48" s="196" t="s">
        <v>1321</v>
      </c>
      <c r="C48" t="str">
        <f t="shared" si="0"/>
        <v>CL-Chili</v>
      </c>
      <c r="D48" s="196" t="s">
        <v>705</v>
      </c>
    </row>
    <row r="49" spans="1:4" x14ac:dyDescent="0.3">
      <c r="A49" s="196" t="s">
        <v>1322</v>
      </c>
      <c r="B49" s="196" t="s">
        <v>1323</v>
      </c>
      <c r="C49" t="str">
        <f t="shared" si="0"/>
        <v>CLO-Clôture axe 3</v>
      </c>
      <c r="D49" s="196" t="s">
        <v>1322</v>
      </c>
    </row>
    <row r="50" spans="1:4" x14ac:dyDescent="0.3">
      <c r="A50" s="196" t="s">
        <v>701</v>
      </c>
      <c r="B50" s="196" t="s">
        <v>1324</v>
      </c>
      <c r="C50" t="str">
        <f t="shared" si="0"/>
        <v>CM-Cameroun</v>
      </c>
      <c r="D50" s="196" t="s">
        <v>701</v>
      </c>
    </row>
    <row r="51" spans="1:4" x14ac:dyDescent="0.3">
      <c r="A51" s="196" t="s">
        <v>706</v>
      </c>
      <c r="B51" s="196" t="s">
        <v>1325</v>
      </c>
      <c r="C51" t="str">
        <f t="shared" si="0"/>
        <v>CN-Chine</v>
      </c>
      <c r="D51" s="196" t="s">
        <v>706</v>
      </c>
    </row>
    <row r="52" spans="1:4" x14ac:dyDescent="0.3">
      <c r="A52" s="196" t="s">
        <v>710</v>
      </c>
      <c r="B52" s="196" t="s">
        <v>1326</v>
      </c>
      <c r="C52" t="str">
        <f t="shared" si="0"/>
        <v>CO-Colombie</v>
      </c>
      <c r="D52" s="196" t="s">
        <v>710</v>
      </c>
    </row>
    <row r="53" spans="1:4" x14ac:dyDescent="0.3">
      <c r="A53" s="196" t="s">
        <v>716</v>
      </c>
      <c r="B53" s="196" t="s">
        <v>1327</v>
      </c>
      <c r="C53" t="str">
        <f t="shared" si="0"/>
        <v>CR-Costa Rica</v>
      </c>
      <c r="D53" s="196" t="s">
        <v>716</v>
      </c>
    </row>
    <row r="54" spans="1:4" x14ac:dyDescent="0.3">
      <c r="A54" s="196" t="s">
        <v>719</v>
      </c>
      <c r="B54" s="196" t="s">
        <v>1328</v>
      </c>
      <c r="C54" t="str">
        <f t="shared" si="0"/>
        <v>CU-Cuba</v>
      </c>
      <c r="D54" s="196" t="s">
        <v>719</v>
      </c>
    </row>
    <row r="55" spans="1:4" x14ac:dyDescent="0.3">
      <c r="A55" s="196" t="s">
        <v>703</v>
      </c>
      <c r="B55" s="196" t="s">
        <v>1329</v>
      </c>
      <c r="C55" t="str">
        <f t="shared" si="0"/>
        <v>CV-Cap-Vert</v>
      </c>
      <c r="D55" s="196" t="s">
        <v>703</v>
      </c>
    </row>
    <row r="56" spans="1:4" x14ac:dyDescent="0.3">
      <c r="A56" s="196" t="s">
        <v>1330</v>
      </c>
      <c r="B56" s="196" t="s">
        <v>1331</v>
      </c>
      <c r="C56" t="str">
        <f t="shared" si="0"/>
        <v>CW-Curaçao</v>
      </c>
      <c r="D56" s="196" t="s">
        <v>1330</v>
      </c>
    </row>
    <row r="57" spans="1:4" x14ac:dyDescent="0.3">
      <c r="A57" s="196" t="s">
        <v>707</v>
      </c>
      <c r="B57" s="196" t="s">
        <v>1332</v>
      </c>
      <c r="C57" t="str">
        <f t="shared" si="0"/>
        <v>CX-Île Christmas</v>
      </c>
      <c r="D57" s="196" t="s">
        <v>707</v>
      </c>
    </row>
    <row r="58" spans="1:4" x14ac:dyDescent="0.3">
      <c r="A58" s="196" t="s">
        <v>708</v>
      </c>
      <c r="B58" s="196" t="s">
        <v>1333</v>
      </c>
      <c r="C58" t="str">
        <f t="shared" si="0"/>
        <v>CY-Chypre (pays)</v>
      </c>
      <c r="D58" s="196" t="s">
        <v>708</v>
      </c>
    </row>
    <row r="59" spans="1:4" x14ac:dyDescent="0.3">
      <c r="A59" s="196" t="s">
        <v>661</v>
      </c>
      <c r="B59" s="196" t="s">
        <v>1334</v>
      </c>
      <c r="C59" t="str">
        <f t="shared" si="0"/>
        <v>CZ-Tchéquie</v>
      </c>
      <c r="D59" s="196" t="s">
        <v>661</v>
      </c>
    </row>
    <row r="60" spans="1:4" x14ac:dyDescent="0.3">
      <c r="A60" s="196" t="s">
        <v>674</v>
      </c>
      <c r="B60" s="196" t="s">
        <v>1335</v>
      </c>
      <c r="C60" t="str">
        <f t="shared" si="0"/>
        <v>DE-Allemagne</v>
      </c>
      <c r="D60" s="196" t="s">
        <v>674</v>
      </c>
    </row>
    <row r="61" spans="1:4" x14ac:dyDescent="0.3">
      <c r="A61" s="196" t="s">
        <v>721</v>
      </c>
      <c r="B61" s="196" t="s">
        <v>1336</v>
      </c>
      <c r="C61" t="str">
        <f t="shared" si="0"/>
        <v>DJ-Djibouti</v>
      </c>
      <c r="D61" s="196" t="s">
        <v>721</v>
      </c>
    </row>
    <row r="62" spans="1:4" x14ac:dyDescent="0.3">
      <c r="A62" s="196" t="s">
        <v>720</v>
      </c>
      <c r="B62" s="196" t="s">
        <v>1337</v>
      </c>
      <c r="C62" t="str">
        <f t="shared" si="0"/>
        <v>DK-Danemark</v>
      </c>
      <c r="D62" s="196" t="s">
        <v>720</v>
      </c>
    </row>
    <row r="63" spans="1:4" x14ac:dyDescent="0.3">
      <c r="A63" s="196" t="s">
        <v>723</v>
      </c>
      <c r="B63" s="196" t="s">
        <v>1338</v>
      </c>
      <c r="C63" t="str">
        <f t="shared" si="0"/>
        <v>DM-Dominique</v>
      </c>
      <c r="D63" s="196" t="s">
        <v>723</v>
      </c>
    </row>
    <row r="64" spans="1:4" x14ac:dyDescent="0.3">
      <c r="A64" s="196" t="s">
        <v>722</v>
      </c>
      <c r="B64" s="196" t="s">
        <v>1339</v>
      </c>
      <c r="C64" t="str">
        <f t="shared" si="0"/>
        <v>DO-République dominicaine</v>
      </c>
      <c r="D64" s="196" t="s">
        <v>722</v>
      </c>
    </row>
    <row r="65" spans="1:4" x14ac:dyDescent="0.3">
      <c r="A65" s="196" t="s">
        <v>673</v>
      </c>
      <c r="B65" s="196" t="s">
        <v>1340</v>
      </c>
      <c r="C65" t="str">
        <f t="shared" si="0"/>
        <v>DZ-Algérie</v>
      </c>
      <c r="D65" s="196" t="s">
        <v>673</v>
      </c>
    </row>
    <row r="66" spans="1:4" x14ac:dyDescent="0.3">
      <c r="A66" s="196" t="s">
        <v>727</v>
      </c>
      <c r="B66" s="196" t="s">
        <v>1341</v>
      </c>
      <c r="C66" t="str">
        <f t="shared" si="0"/>
        <v>EC-Équateur (pays)</v>
      </c>
      <c r="D66" s="196" t="s">
        <v>727</v>
      </c>
    </row>
    <row r="67" spans="1:4" x14ac:dyDescent="0.3">
      <c r="A67" s="196" t="s">
        <v>730</v>
      </c>
      <c r="B67" s="196" t="s">
        <v>1342</v>
      </c>
      <c r="C67" t="str">
        <f t="shared" ref="C67:C130" si="1">A67&amp;"-"&amp;B67</f>
        <v>EE-Estonie</v>
      </c>
      <c r="D67" s="196" t="s">
        <v>730</v>
      </c>
    </row>
    <row r="68" spans="1:4" x14ac:dyDescent="0.3">
      <c r="A68" s="196" t="s">
        <v>724</v>
      </c>
      <c r="B68" s="196" t="s">
        <v>1343</v>
      </c>
      <c r="C68" t="str">
        <f t="shared" si="1"/>
        <v>EG-Égypte</v>
      </c>
      <c r="D68" s="196" t="s">
        <v>724</v>
      </c>
    </row>
    <row r="69" spans="1:4" x14ac:dyDescent="0.3">
      <c r="A69" s="196" t="s">
        <v>840</v>
      </c>
      <c r="B69" s="196" t="s">
        <v>1344</v>
      </c>
      <c r="C69" t="str">
        <f t="shared" si="1"/>
        <v>EH-République arabe sahraouie démocratique</v>
      </c>
      <c r="D69" s="196" t="s">
        <v>840</v>
      </c>
    </row>
    <row r="70" spans="1:4" x14ac:dyDescent="0.3">
      <c r="A70" s="196" t="s">
        <v>728</v>
      </c>
      <c r="B70" s="196" t="s">
        <v>1345</v>
      </c>
      <c r="C70" t="str">
        <f t="shared" si="1"/>
        <v>ER-Érythrée</v>
      </c>
      <c r="D70" s="196" t="s">
        <v>728</v>
      </c>
    </row>
    <row r="71" spans="1:4" x14ac:dyDescent="0.3">
      <c r="A71" s="196" t="s">
        <v>729</v>
      </c>
      <c r="B71" s="196" t="s">
        <v>1346</v>
      </c>
      <c r="C71" t="str">
        <f t="shared" si="1"/>
        <v>ES-Espagne</v>
      </c>
      <c r="D71" s="196" t="s">
        <v>729</v>
      </c>
    </row>
    <row r="72" spans="1:4" x14ac:dyDescent="0.3">
      <c r="A72" s="196" t="s">
        <v>732</v>
      </c>
      <c r="B72" s="196" t="s">
        <v>1347</v>
      </c>
      <c r="C72" t="str">
        <f t="shared" si="1"/>
        <v>ET-Éthiopie</v>
      </c>
      <c r="D72" s="196" t="s">
        <v>732</v>
      </c>
    </row>
    <row r="73" spans="1:4" x14ac:dyDescent="0.3">
      <c r="A73" s="196" t="s">
        <v>736</v>
      </c>
      <c r="B73" s="196" t="s">
        <v>1348</v>
      </c>
      <c r="C73" t="str">
        <f t="shared" si="1"/>
        <v>FI-Finlande</v>
      </c>
      <c r="D73" s="196" t="s">
        <v>736</v>
      </c>
    </row>
    <row r="74" spans="1:4" x14ac:dyDescent="0.3">
      <c r="A74" s="196" t="s">
        <v>735</v>
      </c>
      <c r="B74" s="196" t="s">
        <v>1349</v>
      </c>
      <c r="C74" t="str">
        <f t="shared" si="1"/>
        <v>FJ-Fidji</v>
      </c>
      <c r="D74" s="196" t="s">
        <v>735</v>
      </c>
    </row>
    <row r="75" spans="1:4" x14ac:dyDescent="0.3">
      <c r="A75" s="196" t="s">
        <v>733</v>
      </c>
      <c r="B75" s="196" t="s">
        <v>1350</v>
      </c>
      <c r="C75" t="str">
        <f t="shared" si="1"/>
        <v>FK-Malouines</v>
      </c>
      <c r="D75" s="196" t="s">
        <v>733</v>
      </c>
    </row>
    <row r="76" spans="1:4" x14ac:dyDescent="0.3">
      <c r="A76" s="196" t="s">
        <v>800</v>
      </c>
      <c r="B76" s="196" t="s">
        <v>1351</v>
      </c>
      <c r="C76" t="str">
        <f t="shared" si="1"/>
        <v>FM-Micronésie (pays)</v>
      </c>
      <c r="D76" s="196" t="s">
        <v>800</v>
      </c>
    </row>
    <row r="77" spans="1:4" x14ac:dyDescent="0.3">
      <c r="A77" s="196" t="s">
        <v>734</v>
      </c>
      <c r="B77" s="196" t="s">
        <v>1352</v>
      </c>
      <c r="C77" t="str">
        <f t="shared" si="1"/>
        <v>FO-Îles Féroé</v>
      </c>
      <c r="D77" s="196" t="s">
        <v>734</v>
      </c>
    </row>
    <row r="78" spans="1:4" x14ac:dyDescent="0.3">
      <c r="A78" s="196" t="s">
        <v>588</v>
      </c>
      <c r="B78" s="196" t="s">
        <v>428</v>
      </c>
      <c r="C78" t="str">
        <f t="shared" si="1"/>
        <v>FR-France</v>
      </c>
      <c r="D78" s="196" t="s">
        <v>588</v>
      </c>
    </row>
    <row r="79" spans="1:4" x14ac:dyDescent="0.3">
      <c r="A79" s="196" t="s">
        <v>737</v>
      </c>
      <c r="B79" s="196" t="s">
        <v>1353</v>
      </c>
      <c r="C79" t="str">
        <f t="shared" si="1"/>
        <v>GA-Gabon</v>
      </c>
      <c r="D79" s="196" t="s">
        <v>737</v>
      </c>
    </row>
    <row r="80" spans="1:4" x14ac:dyDescent="0.3">
      <c r="A80" s="196" t="s">
        <v>837</v>
      </c>
      <c r="B80" s="196" t="s">
        <v>1354</v>
      </c>
      <c r="C80" t="str">
        <f t="shared" si="1"/>
        <v>GB-Royaume-Uni</v>
      </c>
      <c r="D80" s="196" t="s">
        <v>837</v>
      </c>
    </row>
    <row r="81" spans="1:4" x14ac:dyDescent="0.3">
      <c r="A81" s="196" t="s">
        <v>744</v>
      </c>
      <c r="B81" s="196" t="s">
        <v>1355</v>
      </c>
      <c r="C81" t="str">
        <f t="shared" si="1"/>
        <v>GD-Grenade (pays)</v>
      </c>
      <c r="D81" s="196" t="s">
        <v>744</v>
      </c>
    </row>
    <row r="82" spans="1:4" x14ac:dyDescent="0.3">
      <c r="A82" s="196" t="s">
        <v>739</v>
      </c>
      <c r="B82" s="196" t="s">
        <v>1356</v>
      </c>
      <c r="C82" t="str">
        <f t="shared" si="1"/>
        <v>GE-Géorgie (pays)</v>
      </c>
      <c r="D82" s="196" t="s">
        <v>739</v>
      </c>
    </row>
    <row r="83" spans="1:4" x14ac:dyDescent="0.3">
      <c r="A83" s="196" t="s">
        <v>751</v>
      </c>
      <c r="B83" s="196" t="s">
        <v>1357</v>
      </c>
      <c r="C83" t="str">
        <f t="shared" si="1"/>
        <v>GF-Guyane</v>
      </c>
      <c r="D83" s="196" t="s">
        <v>751</v>
      </c>
    </row>
    <row r="84" spans="1:4" x14ac:dyDescent="0.3">
      <c r="A84" s="196" t="s">
        <v>1358</v>
      </c>
      <c r="B84" s="196" t="s">
        <v>1359</v>
      </c>
      <c r="C84" t="str">
        <f t="shared" si="1"/>
        <v>GG-Guernesey</v>
      </c>
      <c r="D84" s="196" t="s">
        <v>1358</v>
      </c>
    </row>
    <row r="85" spans="1:4" x14ac:dyDescent="0.3">
      <c r="A85" s="196" t="s">
        <v>741</v>
      </c>
      <c r="B85" s="196" t="s">
        <v>1360</v>
      </c>
      <c r="C85" t="str">
        <f t="shared" si="1"/>
        <v>GH-Ghana</v>
      </c>
      <c r="D85" s="196" t="s">
        <v>741</v>
      </c>
    </row>
    <row r="86" spans="1:4" x14ac:dyDescent="0.3">
      <c r="A86" s="196" t="s">
        <v>742</v>
      </c>
      <c r="B86" s="196" t="s">
        <v>1361</v>
      </c>
      <c r="C86" t="str">
        <f t="shared" si="1"/>
        <v>GI-Gibraltar</v>
      </c>
      <c r="D86" s="196" t="s">
        <v>742</v>
      </c>
    </row>
    <row r="87" spans="1:4" x14ac:dyDescent="0.3">
      <c r="A87" s="196" t="s">
        <v>745</v>
      </c>
      <c r="B87" s="196" t="s">
        <v>1362</v>
      </c>
      <c r="C87" t="str">
        <f t="shared" si="1"/>
        <v>GL-Groenland</v>
      </c>
      <c r="D87" s="196" t="s">
        <v>745</v>
      </c>
    </row>
    <row r="88" spans="1:4" x14ac:dyDescent="0.3">
      <c r="A88" s="196" t="s">
        <v>738</v>
      </c>
      <c r="B88" s="196" t="s">
        <v>1363</v>
      </c>
      <c r="C88" t="str">
        <f t="shared" si="1"/>
        <v>GM-Gambie</v>
      </c>
      <c r="D88" s="196" t="s">
        <v>738</v>
      </c>
    </row>
    <row r="89" spans="1:4" x14ac:dyDescent="0.3">
      <c r="A89" s="196" t="s">
        <v>747</v>
      </c>
      <c r="B89" s="196" t="s">
        <v>1364</v>
      </c>
      <c r="C89" t="str">
        <f t="shared" si="1"/>
        <v>GN-Guinée</v>
      </c>
      <c r="D89" s="196" t="s">
        <v>747</v>
      </c>
    </row>
    <row r="90" spans="1:4" x14ac:dyDescent="0.3">
      <c r="A90" s="196" t="s">
        <v>657</v>
      </c>
      <c r="B90" s="196" t="s">
        <v>1365</v>
      </c>
      <c r="C90" t="str">
        <f t="shared" si="1"/>
        <v>GP-Guadeloupe</v>
      </c>
      <c r="D90" s="196" t="s">
        <v>657</v>
      </c>
    </row>
    <row r="91" spans="1:4" x14ac:dyDescent="0.3">
      <c r="A91" s="196" t="s">
        <v>748</v>
      </c>
      <c r="B91" s="196" t="s">
        <v>1366</v>
      </c>
      <c r="C91" t="str">
        <f t="shared" si="1"/>
        <v>GQ-Guinée équatoriale</v>
      </c>
      <c r="D91" s="196" t="s">
        <v>748</v>
      </c>
    </row>
    <row r="92" spans="1:4" x14ac:dyDescent="0.3">
      <c r="A92" s="196" t="s">
        <v>743</v>
      </c>
      <c r="B92" s="196" t="s">
        <v>1367</v>
      </c>
      <c r="C92" t="str">
        <f t="shared" si="1"/>
        <v>GR-Grèce</v>
      </c>
      <c r="D92" s="196" t="s">
        <v>743</v>
      </c>
    </row>
    <row r="93" spans="1:4" x14ac:dyDescent="0.3">
      <c r="A93" s="196" t="s">
        <v>740</v>
      </c>
      <c r="B93" s="196" t="s">
        <v>1368</v>
      </c>
      <c r="C93" t="str">
        <f t="shared" si="1"/>
        <v>GS-Géorgie du Sud-et-les Îles Sandwich du Sud</v>
      </c>
      <c r="D93" s="196" t="s">
        <v>740</v>
      </c>
    </row>
    <row r="94" spans="1:4" x14ac:dyDescent="0.3">
      <c r="A94" s="196" t="s">
        <v>746</v>
      </c>
      <c r="B94" s="196" t="s">
        <v>1369</v>
      </c>
      <c r="C94" t="str">
        <f t="shared" si="1"/>
        <v>GT-Guatemala</v>
      </c>
      <c r="D94" s="196" t="s">
        <v>746</v>
      </c>
    </row>
    <row r="95" spans="1:4" x14ac:dyDescent="0.3">
      <c r="A95" s="196" t="s">
        <v>658</v>
      </c>
      <c r="B95" s="196" t="s">
        <v>1370</v>
      </c>
      <c r="C95" t="str">
        <f t="shared" si="1"/>
        <v>GU-Guam</v>
      </c>
      <c r="D95" s="196" t="s">
        <v>658</v>
      </c>
    </row>
    <row r="96" spans="1:4" x14ac:dyDescent="0.3">
      <c r="A96" s="196" t="s">
        <v>749</v>
      </c>
      <c r="B96" s="196" t="s">
        <v>1371</v>
      </c>
      <c r="C96" t="str">
        <f t="shared" si="1"/>
        <v>GW-Guinée-Bissau</v>
      </c>
      <c r="D96" s="196" t="s">
        <v>749</v>
      </c>
    </row>
    <row r="97" spans="1:4" x14ac:dyDescent="0.3">
      <c r="A97" s="196" t="s">
        <v>750</v>
      </c>
      <c r="B97" s="196" t="s">
        <v>1372</v>
      </c>
      <c r="C97" t="str">
        <f t="shared" si="1"/>
        <v>GY-Guyana</v>
      </c>
      <c r="D97" s="196" t="s">
        <v>750</v>
      </c>
    </row>
    <row r="98" spans="1:4" x14ac:dyDescent="0.3">
      <c r="A98" s="196" t="s">
        <v>755</v>
      </c>
      <c r="B98" s="196" t="s">
        <v>1373</v>
      </c>
      <c r="C98" t="str">
        <f t="shared" si="1"/>
        <v>HK-Hong Kong</v>
      </c>
      <c r="D98" s="196" t="s">
        <v>755</v>
      </c>
    </row>
    <row r="99" spans="1:4" x14ac:dyDescent="0.3">
      <c r="A99" s="196" t="s">
        <v>753</v>
      </c>
      <c r="B99" s="196" t="s">
        <v>1374</v>
      </c>
      <c r="C99" t="str">
        <f t="shared" si="1"/>
        <v>HM-Îles Heard-et-MacDonald</v>
      </c>
      <c r="D99" s="196" t="s">
        <v>753</v>
      </c>
    </row>
    <row r="100" spans="1:4" x14ac:dyDescent="0.3">
      <c r="A100" s="196" t="s">
        <v>754</v>
      </c>
      <c r="B100" s="196" t="s">
        <v>1375</v>
      </c>
      <c r="C100" t="str">
        <f t="shared" si="1"/>
        <v>HN-Honduras</v>
      </c>
      <c r="D100" s="196" t="s">
        <v>754</v>
      </c>
    </row>
    <row r="101" spans="1:4" x14ac:dyDescent="0.3">
      <c r="A101" s="196" t="s">
        <v>718</v>
      </c>
      <c r="B101" s="196" t="s">
        <v>1376</v>
      </c>
      <c r="C101" t="str">
        <f t="shared" si="1"/>
        <v>HR-Croatie</v>
      </c>
      <c r="D101" s="196" t="s">
        <v>718</v>
      </c>
    </row>
    <row r="102" spans="1:4" x14ac:dyDescent="0.3">
      <c r="A102" s="196" t="s">
        <v>752</v>
      </c>
      <c r="B102" s="196" t="s">
        <v>1377</v>
      </c>
      <c r="C102" t="str">
        <f t="shared" si="1"/>
        <v>HT-Haïti</v>
      </c>
      <c r="D102" s="196" t="s">
        <v>752</v>
      </c>
    </row>
    <row r="103" spans="1:4" x14ac:dyDescent="0.3">
      <c r="A103" s="196" t="s">
        <v>756</v>
      </c>
      <c r="B103" s="196" t="s">
        <v>1378</v>
      </c>
      <c r="C103" t="str">
        <f t="shared" si="1"/>
        <v>HU-Hongrie</v>
      </c>
      <c r="D103" s="196" t="s">
        <v>756</v>
      </c>
    </row>
    <row r="104" spans="1:4" x14ac:dyDescent="0.3">
      <c r="A104" s="196" t="s">
        <v>760</v>
      </c>
      <c r="B104" s="196" t="s">
        <v>1379</v>
      </c>
      <c r="C104" t="str">
        <f t="shared" si="1"/>
        <v>ID-Indonésie</v>
      </c>
      <c r="D104" s="196" t="s">
        <v>760</v>
      </c>
    </row>
    <row r="105" spans="1:4" x14ac:dyDescent="0.3">
      <c r="A105" s="196" t="s">
        <v>763</v>
      </c>
      <c r="B105" s="196" t="s">
        <v>1380</v>
      </c>
      <c r="C105" t="str">
        <f t="shared" si="1"/>
        <v>IE-Irlande (pays)</v>
      </c>
      <c r="D105" s="196" t="s">
        <v>763</v>
      </c>
    </row>
    <row r="106" spans="1:4" x14ac:dyDescent="0.3">
      <c r="A106" s="196" t="s">
        <v>765</v>
      </c>
      <c r="B106" s="196" t="s">
        <v>1381</v>
      </c>
      <c r="C106" t="str">
        <f t="shared" si="1"/>
        <v>IL-Israël</v>
      </c>
      <c r="D106" s="196" t="s">
        <v>765</v>
      </c>
    </row>
    <row r="107" spans="1:4" x14ac:dyDescent="0.3">
      <c r="A107" s="196" t="s">
        <v>1382</v>
      </c>
      <c r="B107" s="196" t="s">
        <v>1383</v>
      </c>
      <c r="C107" t="str">
        <f t="shared" si="1"/>
        <v>IM-Île de Man</v>
      </c>
      <c r="D107" s="196" t="s">
        <v>1382</v>
      </c>
    </row>
    <row r="108" spans="1:4" x14ac:dyDescent="0.3">
      <c r="A108" s="196" t="s">
        <v>759</v>
      </c>
      <c r="B108" s="196" t="s">
        <v>1384</v>
      </c>
      <c r="C108" t="str">
        <f t="shared" si="1"/>
        <v>IN-Inde</v>
      </c>
      <c r="D108" s="196" t="s">
        <v>759</v>
      </c>
    </row>
    <row r="109" spans="1:4" x14ac:dyDescent="0.3">
      <c r="A109" s="196" t="s">
        <v>1385</v>
      </c>
      <c r="B109" s="196" t="s">
        <v>1386</v>
      </c>
      <c r="C109" t="str">
        <f t="shared" si="1"/>
        <v>IO-Territoire britannique de l'océan Indien</v>
      </c>
      <c r="D109" s="196" t="s">
        <v>1385</v>
      </c>
    </row>
    <row r="110" spans="1:4" x14ac:dyDescent="0.3">
      <c r="A110" s="196" t="s">
        <v>762</v>
      </c>
      <c r="B110" s="196" t="s">
        <v>1387</v>
      </c>
      <c r="C110" t="str">
        <f t="shared" si="1"/>
        <v>IQ-Irak</v>
      </c>
      <c r="D110" s="196" t="s">
        <v>762</v>
      </c>
    </row>
    <row r="111" spans="1:4" x14ac:dyDescent="0.3">
      <c r="A111" s="196" t="s">
        <v>761</v>
      </c>
      <c r="B111" s="196" t="s">
        <v>1388</v>
      </c>
      <c r="C111" t="str">
        <f t="shared" si="1"/>
        <v>IR-Iran</v>
      </c>
      <c r="D111" s="196" t="s">
        <v>761</v>
      </c>
    </row>
    <row r="112" spans="1:4" x14ac:dyDescent="0.3">
      <c r="A112" s="196" t="s">
        <v>764</v>
      </c>
      <c r="B112" s="196" t="s">
        <v>1389</v>
      </c>
      <c r="C112" t="str">
        <f t="shared" si="1"/>
        <v>IS-Islande</v>
      </c>
      <c r="D112" s="196" t="s">
        <v>764</v>
      </c>
    </row>
    <row r="113" spans="1:4" x14ac:dyDescent="0.3">
      <c r="A113" s="196" t="s">
        <v>766</v>
      </c>
      <c r="B113" s="196" t="s">
        <v>1390</v>
      </c>
      <c r="C113" t="str">
        <f t="shared" si="1"/>
        <v>IT-Italie</v>
      </c>
      <c r="D113" s="196" t="s">
        <v>766</v>
      </c>
    </row>
    <row r="114" spans="1:4" x14ac:dyDescent="0.3">
      <c r="A114" s="196" t="s">
        <v>1391</v>
      </c>
      <c r="B114" s="196" t="s">
        <v>1392</v>
      </c>
      <c r="C114" t="str">
        <f t="shared" si="1"/>
        <v>JE-Jersey</v>
      </c>
      <c r="D114" s="196" t="s">
        <v>1391</v>
      </c>
    </row>
    <row r="115" spans="1:4" x14ac:dyDescent="0.3">
      <c r="A115" s="196" t="s">
        <v>767</v>
      </c>
      <c r="B115" s="196" t="s">
        <v>1393</v>
      </c>
      <c r="C115" t="str">
        <f t="shared" si="1"/>
        <v>JM-Jamaïque</v>
      </c>
      <c r="D115" s="196" t="s">
        <v>767</v>
      </c>
    </row>
    <row r="116" spans="1:4" x14ac:dyDescent="0.3">
      <c r="A116" s="196" t="s">
        <v>769</v>
      </c>
      <c r="B116" s="196" t="s">
        <v>1394</v>
      </c>
      <c r="C116" t="str">
        <f t="shared" si="1"/>
        <v>JO-Jordanie</v>
      </c>
      <c r="D116" s="196" t="s">
        <v>769</v>
      </c>
    </row>
    <row r="117" spans="1:4" x14ac:dyDescent="0.3">
      <c r="A117" s="196" t="s">
        <v>768</v>
      </c>
      <c r="B117" s="196" t="s">
        <v>1395</v>
      </c>
      <c r="C117" t="str">
        <f t="shared" si="1"/>
        <v>JP-Japon</v>
      </c>
      <c r="D117" s="196" t="s">
        <v>768</v>
      </c>
    </row>
    <row r="118" spans="1:4" x14ac:dyDescent="0.3">
      <c r="A118" s="196" t="s">
        <v>771</v>
      </c>
      <c r="B118" s="196" t="s">
        <v>1396</v>
      </c>
      <c r="C118" t="str">
        <f t="shared" si="1"/>
        <v>KE-Kenya</v>
      </c>
      <c r="D118" s="196" t="s">
        <v>771</v>
      </c>
    </row>
    <row r="119" spans="1:4" x14ac:dyDescent="0.3">
      <c r="A119" s="196" t="s">
        <v>772</v>
      </c>
      <c r="B119" s="196" t="s">
        <v>1397</v>
      </c>
      <c r="C119" t="str">
        <f t="shared" si="1"/>
        <v>KG-Kirghizistan</v>
      </c>
      <c r="D119" s="196" t="s">
        <v>772</v>
      </c>
    </row>
    <row r="120" spans="1:4" x14ac:dyDescent="0.3">
      <c r="A120" s="196" t="s">
        <v>700</v>
      </c>
      <c r="B120" s="196" t="s">
        <v>1398</v>
      </c>
      <c r="C120" t="str">
        <f t="shared" si="1"/>
        <v>KH-Cambodge</v>
      </c>
      <c r="D120" s="196" t="s">
        <v>700</v>
      </c>
    </row>
    <row r="121" spans="1:4" x14ac:dyDescent="0.3">
      <c r="A121" s="196" t="s">
        <v>773</v>
      </c>
      <c r="B121" s="196" t="s">
        <v>1399</v>
      </c>
      <c r="C121" t="str">
        <f t="shared" si="1"/>
        <v>KI-Kiribati</v>
      </c>
      <c r="D121" s="196" t="s">
        <v>773</v>
      </c>
    </row>
    <row r="122" spans="1:4" x14ac:dyDescent="0.3">
      <c r="A122" s="196" t="s">
        <v>711</v>
      </c>
      <c r="B122" s="196" t="s">
        <v>1400</v>
      </c>
      <c r="C122" t="str">
        <f t="shared" si="1"/>
        <v>KM-Comores (pays)</v>
      </c>
      <c r="D122" s="196" t="s">
        <v>711</v>
      </c>
    </row>
    <row r="123" spans="1:4" x14ac:dyDescent="0.3">
      <c r="A123" s="196" t="s">
        <v>844</v>
      </c>
      <c r="B123" s="196" t="s">
        <v>1401</v>
      </c>
      <c r="C123" t="str">
        <f t="shared" si="1"/>
        <v>KN-Saint-Christophe-et-Niévès</v>
      </c>
      <c r="D123" s="196" t="s">
        <v>844</v>
      </c>
    </row>
    <row r="124" spans="1:4" x14ac:dyDescent="0.3">
      <c r="A124" s="196" t="s">
        <v>715</v>
      </c>
      <c r="B124" s="196" t="s">
        <v>1402</v>
      </c>
      <c r="C124" t="str">
        <f t="shared" si="1"/>
        <v>KP-Corée du Nord</v>
      </c>
      <c r="D124" s="196" t="s">
        <v>715</v>
      </c>
    </row>
    <row r="125" spans="1:4" x14ac:dyDescent="0.3">
      <c r="A125" s="196" t="s">
        <v>714</v>
      </c>
      <c r="B125" s="196" t="s">
        <v>1403</v>
      </c>
      <c r="C125" t="str">
        <f t="shared" si="1"/>
        <v>KR-Corée du Sud</v>
      </c>
      <c r="D125" s="196" t="s">
        <v>714</v>
      </c>
    </row>
    <row r="126" spans="1:4" x14ac:dyDescent="0.3">
      <c r="A126" s="196" t="s">
        <v>774</v>
      </c>
      <c r="B126" s="196" t="s">
        <v>1404</v>
      </c>
      <c r="C126" t="str">
        <f t="shared" si="1"/>
        <v>KW-Koweït</v>
      </c>
      <c r="D126" s="196" t="s">
        <v>774</v>
      </c>
    </row>
    <row r="127" spans="1:4" x14ac:dyDescent="0.3">
      <c r="A127" s="196" t="s">
        <v>699</v>
      </c>
      <c r="B127" s="196" t="s">
        <v>1405</v>
      </c>
      <c r="C127" t="str">
        <f t="shared" si="1"/>
        <v>KY-Îles Caïmans</v>
      </c>
      <c r="D127" s="196" t="s">
        <v>699</v>
      </c>
    </row>
    <row r="128" spans="1:4" x14ac:dyDescent="0.3">
      <c r="A128" s="196" t="s">
        <v>770</v>
      </c>
      <c r="B128" s="196" t="s">
        <v>1406</v>
      </c>
      <c r="C128" t="str">
        <f t="shared" si="1"/>
        <v>KZ-Kazakhstan</v>
      </c>
      <c r="D128" s="196" t="s">
        <v>770</v>
      </c>
    </row>
    <row r="129" spans="1:4" x14ac:dyDescent="0.3">
      <c r="A129" s="196" t="s">
        <v>775</v>
      </c>
      <c r="B129" s="196" t="s">
        <v>1407</v>
      </c>
      <c r="C129" t="str">
        <f t="shared" si="1"/>
        <v>LA-Laos</v>
      </c>
      <c r="D129" s="196" t="s">
        <v>775</v>
      </c>
    </row>
    <row r="130" spans="1:4" x14ac:dyDescent="0.3">
      <c r="A130" s="196" t="s">
        <v>778</v>
      </c>
      <c r="B130" s="196" t="s">
        <v>1408</v>
      </c>
      <c r="C130" t="str">
        <f t="shared" si="1"/>
        <v>LB-Liban</v>
      </c>
      <c r="D130" s="196" t="s">
        <v>778</v>
      </c>
    </row>
    <row r="131" spans="1:4" x14ac:dyDescent="0.3">
      <c r="A131" s="196" t="s">
        <v>843</v>
      </c>
      <c r="B131" s="196" t="s">
        <v>1409</v>
      </c>
      <c r="C131" t="str">
        <f t="shared" ref="C131:C194" si="2">A131&amp;"-"&amp;B131</f>
        <v>LC-Sainte-Lucie</v>
      </c>
      <c r="D131" s="196" t="s">
        <v>843</v>
      </c>
    </row>
    <row r="132" spans="1:4" x14ac:dyDescent="0.3">
      <c r="A132" s="196" t="s">
        <v>781</v>
      </c>
      <c r="B132" s="196" t="s">
        <v>1410</v>
      </c>
      <c r="C132" t="str">
        <f t="shared" si="2"/>
        <v>LI-Liechtenstein</v>
      </c>
      <c r="D132" s="196" t="s">
        <v>781</v>
      </c>
    </row>
    <row r="133" spans="1:4" x14ac:dyDescent="0.3">
      <c r="A133" s="196" t="s">
        <v>860</v>
      </c>
      <c r="B133" s="196" t="s">
        <v>1411</v>
      </c>
      <c r="C133" t="str">
        <f t="shared" si="2"/>
        <v>LK-Sri Lanka</v>
      </c>
      <c r="D133" s="196" t="s">
        <v>860</v>
      </c>
    </row>
    <row r="134" spans="1:4" x14ac:dyDescent="0.3">
      <c r="A134" s="196" t="s">
        <v>779</v>
      </c>
      <c r="B134" s="196" t="s">
        <v>1412</v>
      </c>
      <c r="C134" t="str">
        <f t="shared" si="2"/>
        <v>LR-Liberia</v>
      </c>
      <c r="D134" s="196" t="s">
        <v>779</v>
      </c>
    </row>
    <row r="135" spans="1:4" x14ac:dyDescent="0.3">
      <c r="A135" s="196" t="s">
        <v>776</v>
      </c>
      <c r="B135" s="196" t="s">
        <v>1413</v>
      </c>
      <c r="C135" t="str">
        <f t="shared" si="2"/>
        <v>LS-Lesotho</v>
      </c>
      <c r="D135" s="196" t="s">
        <v>776</v>
      </c>
    </row>
    <row r="136" spans="1:4" x14ac:dyDescent="0.3">
      <c r="A136" s="196" t="s">
        <v>782</v>
      </c>
      <c r="B136" s="196" t="s">
        <v>1414</v>
      </c>
      <c r="C136" t="str">
        <f t="shared" si="2"/>
        <v>LT-Lituanie</v>
      </c>
      <c r="D136" s="196" t="s">
        <v>782</v>
      </c>
    </row>
    <row r="137" spans="1:4" x14ac:dyDescent="0.3">
      <c r="A137" s="196" t="s">
        <v>783</v>
      </c>
      <c r="B137" s="196" t="s">
        <v>1415</v>
      </c>
      <c r="C137" t="str">
        <f t="shared" si="2"/>
        <v>LU-Luxembourg (pays)</v>
      </c>
      <c r="D137" s="196" t="s">
        <v>783</v>
      </c>
    </row>
    <row r="138" spans="1:4" x14ac:dyDescent="0.3">
      <c r="A138" s="196" t="s">
        <v>777</v>
      </c>
      <c r="B138" s="196" t="s">
        <v>1416</v>
      </c>
      <c r="C138" t="str">
        <f t="shared" si="2"/>
        <v>LV-Lettonie</v>
      </c>
      <c r="D138" s="196" t="s">
        <v>777</v>
      </c>
    </row>
    <row r="139" spans="1:4" x14ac:dyDescent="0.3">
      <c r="A139" s="196" t="s">
        <v>780</v>
      </c>
      <c r="B139" s="196" t="s">
        <v>1417</v>
      </c>
      <c r="C139" t="str">
        <f t="shared" si="2"/>
        <v>LY-Libye</v>
      </c>
      <c r="D139" s="196" t="s">
        <v>780</v>
      </c>
    </row>
    <row r="140" spans="1:4" x14ac:dyDescent="0.3">
      <c r="A140" s="196" t="s">
        <v>659</v>
      </c>
      <c r="B140" s="196" t="s">
        <v>1418</v>
      </c>
      <c r="C140" t="str">
        <f t="shared" si="2"/>
        <v>MA-Maroc</v>
      </c>
      <c r="D140" s="196" t="s">
        <v>659</v>
      </c>
    </row>
    <row r="141" spans="1:4" x14ac:dyDescent="0.3">
      <c r="A141" s="196" t="s">
        <v>802</v>
      </c>
      <c r="B141" s="196" t="s">
        <v>1419</v>
      </c>
      <c r="C141" t="str">
        <f t="shared" si="2"/>
        <v>MC-Monaco</v>
      </c>
      <c r="D141" s="196" t="s">
        <v>802</v>
      </c>
    </row>
    <row r="142" spans="1:4" x14ac:dyDescent="0.3">
      <c r="A142" s="196" t="s">
        <v>801</v>
      </c>
      <c r="B142" s="196" t="s">
        <v>1420</v>
      </c>
      <c r="C142" t="str">
        <f t="shared" si="2"/>
        <v>MD-Moldavie</v>
      </c>
      <c r="D142" s="196" t="s">
        <v>801</v>
      </c>
    </row>
    <row r="143" spans="1:4" x14ac:dyDescent="0.3">
      <c r="A143" s="196" t="s">
        <v>804</v>
      </c>
      <c r="B143" s="196" t="s">
        <v>1421</v>
      </c>
      <c r="C143" t="str">
        <f t="shared" si="2"/>
        <v>ME-Monténégro</v>
      </c>
      <c r="D143" s="196" t="s">
        <v>804</v>
      </c>
    </row>
    <row r="144" spans="1:4" x14ac:dyDescent="0.3">
      <c r="A144" s="196" t="s">
        <v>846</v>
      </c>
      <c r="B144" s="196" t="s">
        <v>1422</v>
      </c>
      <c r="C144" t="str">
        <f t="shared" si="2"/>
        <v>MF-Saint-Martin</v>
      </c>
      <c r="D144" s="196" t="s">
        <v>846</v>
      </c>
    </row>
    <row r="145" spans="1:4" x14ac:dyDescent="0.3">
      <c r="A145" s="196" t="s">
        <v>786</v>
      </c>
      <c r="B145" s="196" t="s">
        <v>1423</v>
      </c>
      <c r="C145" t="str">
        <f t="shared" si="2"/>
        <v>MG-Madagascar</v>
      </c>
      <c r="D145" s="196" t="s">
        <v>786</v>
      </c>
    </row>
    <row r="146" spans="1:4" x14ac:dyDescent="0.3">
      <c r="A146" s="196" t="s">
        <v>794</v>
      </c>
      <c r="B146" s="196" t="s">
        <v>1424</v>
      </c>
      <c r="C146" t="str">
        <f t="shared" si="2"/>
        <v>MH-Îles Marshall (pays)</v>
      </c>
      <c r="D146" s="196" t="s">
        <v>794</v>
      </c>
    </row>
    <row r="147" spans="1:4" x14ac:dyDescent="0.3">
      <c r="A147" s="196" t="s">
        <v>787</v>
      </c>
      <c r="B147" s="196" t="s">
        <v>1425</v>
      </c>
      <c r="C147" t="str">
        <f t="shared" si="2"/>
        <v>MI-Madère</v>
      </c>
      <c r="D147" s="196" t="s">
        <v>787</v>
      </c>
    </row>
    <row r="148" spans="1:4" x14ac:dyDescent="0.3">
      <c r="A148" s="196" t="s">
        <v>785</v>
      </c>
      <c r="B148" s="196" t="s">
        <v>1426</v>
      </c>
      <c r="C148" t="str">
        <f t="shared" si="2"/>
        <v>MK-République de Macédoine (pays)</v>
      </c>
      <c r="D148" s="196" t="s">
        <v>785</v>
      </c>
    </row>
    <row r="149" spans="1:4" x14ac:dyDescent="0.3">
      <c r="A149" s="196" t="s">
        <v>791</v>
      </c>
      <c r="B149" s="196" t="s">
        <v>1427</v>
      </c>
      <c r="C149" t="str">
        <f t="shared" si="2"/>
        <v>ML-Mali</v>
      </c>
      <c r="D149" s="196" t="s">
        <v>791</v>
      </c>
    </row>
    <row r="150" spans="1:4" x14ac:dyDescent="0.3">
      <c r="A150" s="196" t="s">
        <v>807</v>
      </c>
      <c r="B150" s="196" t="s">
        <v>1428</v>
      </c>
      <c r="C150" t="str">
        <f t="shared" si="2"/>
        <v>MM-Birmanie</v>
      </c>
      <c r="D150" s="196" t="s">
        <v>807</v>
      </c>
    </row>
    <row r="151" spans="1:4" x14ac:dyDescent="0.3">
      <c r="A151" s="196" t="s">
        <v>803</v>
      </c>
      <c r="B151" s="196" t="s">
        <v>1429</v>
      </c>
      <c r="C151" t="str">
        <f t="shared" si="2"/>
        <v>MN-Mongolie</v>
      </c>
      <c r="D151" s="196" t="s">
        <v>803</v>
      </c>
    </row>
    <row r="152" spans="1:4" x14ac:dyDescent="0.3">
      <c r="A152" s="196" t="s">
        <v>784</v>
      </c>
      <c r="B152" s="196" t="s">
        <v>1430</v>
      </c>
      <c r="C152" t="str">
        <f t="shared" si="2"/>
        <v>MO-Macao</v>
      </c>
      <c r="D152" s="196" t="s">
        <v>784</v>
      </c>
    </row>
    <row r="153" spans="1:4" x14ac:dyDescent="0.3">
      <c r="A153" s="196" t="s">
        <v>793</v>
      </c>
      <c r="B153" s="196" t="s">
        <v>1431</v>
      </c>
      <c r="C153" t="str">
        <f t="shared" si="2"/>
        <v>MP-Îles Mariannes du Nord</v>
      </c>
      <c r="D153" s="196" t="s">
        <v>793</v>
      </c>
    </row>
    <row r="154" spans="1:4" x14ac:dyDescent="0.3">
      <c r="A154" s="196" t="s">
        <v>795</v>
      </c>
      <c r="B154" s="196" t="s">
        <v>1432</v>
      </c>
      <c r="C154" t="str">
        <f t="shared" si="2"/>
        <v>MQ-Martinique</v>
      </c>
      <c r="D154" s="196" t="s">
        <v>795</v>
      </c>
    </row>
    <row r="155" spans="1:4" x14ac:dyDescent="0.3">
      <c r="A155" s="196" t="s">
        <v>797</v>
      </c>
      <c r="B155" s="196" t="s">
        <v>1433</v>
      </c>
      <c r="C155" t="str">
        <f t="shared" si="2"/>
        <v>MR-Mauritanie</v>
      </c>
      <c r="D155" s="196" t="s">
        <v>797</v>
      </c>
    </row>
    <row r="156" spans="1:4" x14ac:dyDescent="0.3">
      <c r="A156" s="196" t="s">
        <v>805</v>
      </c>
      <c r="B156" s="196" t="s">
        <v>1434</v>
      </c>
      <c r="C156" t="str">
        <f t="shared" si="2"/>
        <v>MS-Montserrat</v>
      </c>
      <c r="D156" s="196" t="s">
        <v>805</v>
      </c>
    </row>
    <row r="157" spans="1:4" x14ac:dyDescent="0.3">
      <c r="A157" s="196" t="s">
        <v>792</v>
      </c>
      <c r="B157" s="196" t="s">
        <v>1435</v>
      </c>
      <c r="C157" t="str">
        <f t="shared" si="2"/>
        <v>MT-Malte</v>
      </c>
      <c r="D157" s="196" t="s">
        <v>792</v>
      </c>
    </row>
    <row r="158" spans="1:4" x14ac:dyDescent="0.3">
      <c r="A158" s="196" t="s">
        <v>796</v>
      </c>
      <c r="B158" s="196" t="s">
        <v>1436</v>
      </c>
      <c r="C158" t="str">
        <f t="shared" si="2"/>
        <v>MU-Maurice (pays)</v>
      </c>
      <c r="D158" s="196" t="s">
        <v>796</v>
      </c>
    </row>
    <row r="159" spans="1:4" x14ac:dyDescent="0.3">
      <c r="A159" s="196" t="s">
        <v>790</v>
      </c>
      <c r="B159" s="196" t="s">
        <v>1437</v>
      </c>
      <c r="C159" t="str">
        <f t="shared" si="2"/>
        <v>MV-Maldives</v>
      </c>
      <c r="D159" s="196" t="s">
        <v>790</v>
      </c>
    </row>
    <row r="160" spans="1:4" x14ac:dyDescent="0.3">
      <c r="A160" s="196" t="s">
        <v>789</v>
      </c>
      <c r="B160" s="196" t="s">
        <v>1438</v>
      </c>
      <c r="C160" t="str">
        <f t="shared" si="2"/>
        <v>MW-Malawi</v>
      </c>
      <c r="D160" s="196" t="s">
        <v>789</v>
      </c>
    </row>
    <row r="161" spans="1:4" x14ac:dyDescent="0.3">
      <c r="A161" s="196" t="s">
        <v>799</v>
      </c>
      <c r="B161" s="196" t="s">
        <v>1439</v>
      </c>
      <c r="C161" t="str">
        <f t="shared" si="2"/>
        <v>MX-Mexique</v>
      </c>
      <c r="D161" s="196" t="s">
        <v>799</v>
      </c>
    </row>
    <row r="162" spans="1:4" x14ac:dyDescent="0.3">
      <c r="A162" s="196" t="s">
        <v>788</v>
      </c>
      <c r="B162" s="196" t="s">
        <v>1440</v>
      </c>
      <c r="C162" t="str">
        <f t="shared" si="2"/>
        <v>MY-Malaisie</v>
      </c>
      <c r="D162" s="196" t="s">
        <v>788</v>
      </c>
    </row>
    <row r="163" spans="1:4" x14ac:dyDescent="0.3">
      <c r="A163" s="196" t="s">
        <v>806</v>
      </c>
      <c r="B163" s="196" t="s">
        <v>1441</v>
      </c>
      <c r="C163" t="str">
        <f t="shared" si="2"/>
        <v>MZ-Mozambique</v>
      </c>
      <c r="D163" s="196" t="s">
        <v>806</v>
      </c>
    </row>
    <row r="164" spans="1:4" x14ac:dyDescent="0.3">
      <c r="A164" s="196" t="s">
        <v>808</v>
      </c>
      <c r="B164" s="196" t="s">
        <v>1442</v>
      </c>
      <c r="C164" t="str">
        <f t="shared" si="2"/>
        <v>NA-Namibie</v>
      </c>
      <c r="D164" s="196" t="s">
        <v>808</v>
      </c>
    </row>
    <row r="165" spans="1:4" x14ac:dyDescent="0.3">
      <c r="A165" s="196" t="s">
        <v>546</v>
      </c>
      <c r="B165" s="196" t="s">
        <v>1443</v>
      </c>
      <c r="C165" t="str">
        <f t="shared" si="2"/>
        <v>NC-Nouvelle-Calédonie</v>
      </c>
      <c r="D165" s="196" t="s">
        <v>546</v>
      </c>
    </row>
    <row r="166" spans="1:4" x14ac:dyDescent="0.3">
      <c r="A166" s="196" t="s">
        <v>812</v>
      </c>
      <c r="B166" s="196" t="s">
        <v>1444</v>
      </c>
      <c r="C166" t="str">
        <f t="shared" si="2"/>
        <v>NE-Niger</v>
      </c>
      <c r="D166" s="196" t="s">
        <v>812</v>
      </c>
    </row>
    <row r="167" spans="1:4" x14ac:dyDescent="0.3">
      <c r="A167" s="196" t="s">
        <v>815</v>
      </c>
      <c r="B167" s="196" t="s">
        <v>1445</v>
      </c>
      <c r="C167" t="str">
        <f t="shared" si="2"/>
        <v>NF-Île Norfolk</v>
      </c>
      <c r="D167" s="196" t="s">
        <v>815</v>
      </c>
    </row>
    <row r="168" spans="1:4" x14ac:dyDescent="0.3">
      <c r="A168" s="196" t="s">
        <v>813</v>
      </c>
      <c r="B168" s="196" t="s">
        <v>1446</v>
      </c>
      <c r="C168" t="str">
        <f t="shared" si="2"/>
        <v>NG-Nigeria</v>
      </c>
      <c r="D168" s="196" t="s">
        <v>813</v>
      </c>
    </row>
    <row r="169" spans="1:4" x14ac:dyDescent="0.3">
      <c r="A169" s="196" t="s">
        <v>811</v>
      </c>
      <c r="B169" s="196" t="s">
        <v>1447</v>
      </c>
      <c r="C169" t="str">
        <f t="shared" si="2"/>
        <v>NI-Nicaragua</v>
      </c>
      <c r="D169" s="196" t="s">
        <v>811</v>
      </c>
    </row>
    <row r="170" spans="1:4" x14ac:dyDescent="0.3">
      <c r="A170" s="196" t="s">
        <v>826</v>
      </c>
      <c r="B170" s="196" t="s">
        <v>1448</v>
      </c>
      <c r="C170" t="str">
        <f t="shared" si="2"/>
        <v>NL-Pays-Bas</v>
      </c>
      <c r="D170" s="196" t="s">
        <v>826</v>
      </c>
    </row>
    <row r="171" spans="1:4" x14ac:dyDescent="0.3">
      <c r="A171" s="196" t="s">
        <v>816</v>
      </c>
      <c r="B171" s="196" t="s">
        <v>1449</v>
      </c>
      <c r="C171" t="str">
        <f t="shared" si="2"/>
        <v>NO-Norvège</v>
      </c>
      <c r="D171" s="196" t="s">
        <v>816</v>
      </c>
    </row>
    <row r="172" spans="1:4" x14ac:dyDescent="0.3">
      <c r="A172" s="196" t="s">
        <v>810</v>
      </c>
      <c r="B172" s="196" t="s">
        <v>1450</v>
      </c>
      <c r="C172" t="str">
        <f t="shared" si="2"/>
        <v>NP-Népal</v>
      </c>
      <c r="D172" s="196" t="s">
        <v>810</v>
      </c>
    </row>
    <row r="173" spans="1:4" x14ac:dyDescent="0.3">
      <c r="A173" s="196" t="s">
        <v>809</v>
      </c>
      <c r="B173" s="196" t="s">
        <v>1451</v>
      </c>
      <c r="C173" t="str">
        <f t="shared" si="2"/>
        <v>NR-Nauru</v>
      </c>
      <c r="D173" s="196" t="s">
        <v>809</v>
      </c>
    </row>
    <row r="174" spans="1:4" x14ac:dyDescent="0.3">
      <c r="A174" s="196" t="s">
        <v>814</v>
      </c>
      <c r="B174" s="196" t="s">
        <v>1452</v>
      </c>
      <c r="C174" t="str">
        <f t="shared" si="2"/>
        <v>NU-Niue</v>
      </c>
      <c r="D174" s="196" t="s">
        <v>814</v>
      </c>
    </row>
    <row r="175" spans="1:4" x14ac:dyDescent="0.3">
      <c r="A175" s="196" t="s">
        <v>817</v>
      </c>
      <c r="B175" s="196" t="s">
        <v>1453</v>
      </c>
      <c r="C175" t="str">
        <f t="shared" si="2"/>
        <v>NZ-Nouvelle-Zélande</v>
      </c>
      <c r="D175" s="196" t="s">
        <v>817</v>
      </c>
    </row>
    <row r="176" spans="1:4" x14ac:dyDescent="0.3">
      <c r="A176" s="196" t="s">
        <v>818</v>
      </c>
      <c r="B176" s="196" t="s">
        <v>1454</v>
      </c>
      <c r="C176" t="str">
        <f t="shared" si="2"/>
        <v>OM-Oman</v>
      </c>
      <c r="D176" s="196" t="s">
        <v>818</v>
      </c>
    </row>
    <row r="177" spans="1:4" x14ac:dyDescent="0.3">
      <c r="A177" s="196" t="s">
        <v>823</v>
      </c>
      <c r="B177" s="196" t="s">
        <v>1455</v>
      </c>
      <c r="C177" t="str">
        <f t="shared" si="2"/>
        <v>PA-Panama</v>
      </c>
      <c r="D177" s="196" t="s">
        <v>823</v>
      </c>
    </row>
    <row r="178" spans="1:4" x14ac:dyDescent="0.3">
      <c r="A178" s="196" t="s">
        <v>827</v>
      </c>
      <c r="B178" s="196" t="s">
        <v>1456</v>
      </c>
      <c r="C178" t="str">
        <f t="shared" si="2"/>
        <v>PE-Pérou</v>
      </c>
      <c r="D178" s="196" t="s">
        <v>827</v>
      </c>
    </row>
    <row r="179" spans="1:4" x14ac:dyDescent="0.3">
      <c r="A179" s="196" t="s">
        <v>831</v>
      </c>
      <c r="B179" s="196" t="s">
        <v>1457</v>
      </c>
      <c r="C179" t="str">
        <f t="shared" si="2"/>
        <v>PF-Polynésie française</v>
      </c>
      <c r="D179" s="196" t="s">
        <v>831</v>
      </c>
    </row>
    <row r="180" spans="1:4" x14ac:dyDescent="0.3">
      <c r="A180" s="196" t="s">
        <v>824</v>
      </c>
      <c r="B180" s="196" t="s">
        <v>1458</v>
      </c>
      <c r="C180" t="str">
        <f t="shared" si="2"/>
        <v>PG-Papouasie-Nouvelle-Guinée</v>
      </c>
      <c r="D180" s="196" t="s">
        <v>824</v>
      </c>
    </row>
    <row r="181" spans="1:4" x14ac:dyDescent="0.3">
      <c r="A181" s="196" t="s">
        <v>828</v>
      </c>
      <c r="B181" s="196" t="s">
        <v>1459</v>
      </c>
      <c r="C181" t="str">
        <f t="shared" si="2"/>
        <v>PH-Philippines</v>
      </c>
      <c r="D181" s="196" t="s">
        <v>828</v>
      </c>
    </row>
    <row r="182" spans="1:4" x14ac:dyDescent="0.3">
      <c r="A182" s="196" t="s">
        <v>821</v>
      </c>
      <c r="B182" s="196" t="s">
        <v>1460</v>
      </c>
      <c r="C182" t="str">
        <f t="shared" si="2"/>
        <v>PK-Pakistan</v>
      </c>
      <c r="D182" s="196" t="s">
        <v>821</v>
      </c>
    </row>
    <row r="183" spans="1:4" x14ac:dyDescent="0.3">
      <c r="A183" s="196" t="s">
        <v>830</v>
      </c>
      <c r="B183" s="196" t="s">
        <v>1461</v>
      </c>
      <c r="C183" t="str">
        <f t="shared" si="2"/>
        <v>PL-Pologne</v>
      </c>
      <c r="D183" s="196" t="s">
        <v>830</v>
      </c>
    </row>
    <row r="184" spans="1:4" x14ac:dyDescent="0.3">
      <c r="A184" s="196" t="s">
        <v>847</v>
      </c>
      <c r="B184" s="196" t="s">
        <v>1462</v>
      </c>
      <c r="C184" t="str">
        <f t="shared" si="2"/>
        <v>PM-Saint-Pierre-et-Miquelon</v>
      </c>
      <c r="D184" s="196" t="s">
        <v>847</v>
      </c>
    </row>
    <row r="185" spans="1:4" x14ac:dyDescent="0.3">
      <c r="A185" s="196" t="s">
        <v>829</v>
      </c>
      <c r="B185" s="196" t="s">
        <v>1463</v>
      </c>
      <c r="C185" t="str">
        <f t="shared" si="2"/>
        <v>PN-Îles Pitcairn</v>
      </c>
      <c r="D185" s="196" t="s">
        <v>829</v>
      </c>
    </row>
    <row r="186" spans="1:4" x14ac:dyDescent="0.3">
      <c r="A186" s="196" t="s">
        <v>832</v>
      </c>
      <c r="B186" s="196" t="s">
        <v>1464</v>
      </c>
      <c r="C186" t="str">
        <f t="shared" si="2"/>
        <v>PR-Porto Rico</v>
      </c>
      <c r="D186" s="196" t="s">
        <v>832</v>
      </c>
    </row>
    <row r="187" spans="1:4" x14ac:dyDescent="0.3">
      <c r="A187" s="196" t="s">
        <v>822</v>
      </c>
      <c r="B187" s="196" t="s">
        <v>1465</v>
      </c>
      <c r="C187" t="str">
        <f t="shared" si="2"/>
        <v>PS-Palestine</v>
      </c>
      <c r="D187" s="196" t="s">
        <v>822</v>
      </c>
    </row>
    <row r="188" spans="1:4" x14ac:dyDescent="0.3">
      <c r="A188" s="196" t="s">
        <v>833</v>
      </c>
      <c r="B188" s="196" t="s">
        <v>1466</v>
      </c>
      <c r="C188" t="str">
        <f t="shared" si="2"/>
        <v>PT-Portugal</v>
      </c>
      <c r="D188" s="196" t="s">
        <v>833</v>
      </c>
    </row>
    <row r="189" spans="1:4" x14ac:dyDescent="0.3">
      <c r="A189" s="196" t="s">
        <v>1467</v>
      </c>
      <c r="B189" s="196" t="s">
        <v>1468</v>
      </c>
      <c r="C189" t="str">
        <f t="shared" si="2"/>
        <v>PW-Palaos</v>
      </c>
      <c r="D189" s="196" t="s">
        <v>1467</v>
      </c>
    </row>
    <row r="190" spans="1:4" x14ac:dyDescent="0.3">
      <c r="A190" s="196" t="s">
        <v>825</v>
      </c>
      <c r="B190" s="196" t="s">
        <v>1469</v>
      </c>
      <c r="C190" t="str">
        <f t="shared" si="2"/>
        <v>PY-Paraguay</v>
      </c>
      <c r="D190" s="196" t="s">
        <v>825</v>
      </c>
    </row>
    <row r="191" spans="1:4" x14ac:dyDescent="0.3">
      <c r="A191" s="196" t="s">
        <v>834</v>
      </c>
      <c r="B191" s="196" t="s">
        <v>1470</v>
      </c>
      <c r="C191" t="str">
        <f t="shared" si="2"/>
        <v>QA-Qatar</v>
      </c>
      <c r="D191" s="196" t="s">
        <v>834</v>
      </c>
    </row>
    <row r="192" spans="1:4" x14ac:dyDescent="0.3">
      <c r="A192" s="196" t="s">
        <v>663</v>
      </c>
      <c r="B192" s="196" t="s">
        <v>1471</v>
      </c>
      <c r="C192" t="str">
        <f t="shared" si="2"/>
        <v>RE-La Réunion</v>
      </c>
      <c r="D192" s="196" t="s">
        <v>663</v>
      </c>
    </row>
    <row r="193" spans="1:4" x14ac:dyDescent="0.3">
      <c r="A193" s="196" t="s">
        <v>836</v>
      </c>
      <c r="B193" s="196" t="s">
        <v>1472</v>
      </c>
      <c r="C193" t="str">
        <f t="shared" si="2"/>
        <v>RO-Roumanie</v>
      </c>
      <c r="D193" s="196" t="s">
        <v>836</v>
      </c>
    </row>
    <row r="194" spans="1:4" x14ac:dyDescent="0.3">
      <c r="A194" s="196" t="s">
        <v>853</v>
      </c>
      <c r="B194" s="196" t="s">
        <v>1473</v>
      </c>
      <c r="C194" t="str">
        <f t="shared" si="2"/>
        <v>RS-Serbie</v>
      </c>
      <c r="D194" s="196" t="s">
        <v>853</v>
      </c>
    </row>
    <row r="195" spans="1:4" x14ac:dyDescent="0.3">
      <c r="A195" s="196" t="s">
        <v>838</v>
      </c>
      <c r="B195" s="196" t="s">
        <v>1474</v>
      </c>
      <c r="C195" t="str">
        <f t="shared" ref="C195:C254" si="3">A195&amp;"-"&amp;B195</f>
        <v>RU-Russie</v>
      </c>
      <c r="D195" s="196" t="s">
        <v>838</v>
      </c>
    </row>
    <row r="196" spans="1:4" x14ac:dyDescent="0.3">
      <c r="A196" s="196" t="s">
        <v>839</v>
      </c>
      <c r="B196" s="196" t="s">
        <v>1475</v>
      </c>
      <c r="C196" t="str">
        <f t="shared" si="3"/>
        <v>RW-Rwanda</v>
      </c>
      <c r="D196" s="196" t="s">
        <v>839</v>
      </c>
    </row>
    <row r="197" spans="1:4" x14ac:dyDescent="0.3">
      <c r="A197" s="196" t="s">
        <v>680</v>
      </c>
      <c r="B197" s="196" t="s">
        <v>1476</v>
      </c>
      <c r="C197" t="str">
        <f t="shared" si="3"/>
        <v>SA-Arabie saoudite</v>
      </c>
      <c r="D197" s="196" t="s">
        <v>680</v>
      </c>
    </row>
    <row r="198" spans="1:4" x14ac:dyDescent="0.3">
      <c r="A198" s="196" t="s">
        <v>848</v>
      </c>
      <c r="B198" s="196" t="s">
        <v>1477</v>
      </c>
      <c r="C198" t="str">
        <f t="shared" si="3"/>
        <v>SB-Salomon</v>
      </c>
      <c r="D198" s="196" t="s">
        <v>848</v>
      </c>
    </row>
    <row r="199" spans="1:4" x14ac:dyDescent="0.3">
      <c r="A199" s="196" t="s">
        <v>654</v>
      </c>
      <c r="B199" s="196" t="s">
        <v>1478</v>
      </c>
      <c r="C199" t="str">
        <f t="shared" si="3"/>
        <v>SC-Seychelles</v>
      </c>
      <c r="D199" s="196" t="s">
        <v>654</v>
      </c>
    </row>
    <row r="200" spans="1:4" x14ac:dyDescent="0.3">
      <c r="A200" s="196" t="s">
        <v>859</v>
      </c>
      <c r="B200" s="196" t="s">
        <v>1479</v>
      </c>
      <c r="C200" t="str">
        <f t="shared" si="3"/>
        <v>SD-Soudan</v>
      </c>
      <c r="D200" s="196" t="s">
        <v>859</v>
      </c>
    </row>
    <row r="201" spans="1:4" x14ac:dyDescent="0.3">
      <c r="A201" s="196" t="s">
        <v>862</v>
      </c>
      <c r="B201" s="196" t="s">
        <v>1480</v>
      </c>
      <c r="C201" t="str">
        <f t="shared" si="3"/>
        <v>SE-Suède</v>
      </c>
      <c r="D201" s="196" t="s">
        <v>862</v>
      </c>
    </row>
    <row r="202" spans="1:4" x14ac:dyDescent="0.3">
      <c r="A202" s="196" t="s">
        <v>855</v>
      </c>
      <c r="B202" s="196" t="s">
        <v>1481</v>
      </c>
      <c r="C202" t="str">
        <f t="shared" si="3"/>
        <v>SG-Singapour</v>
      </c>
      <c r="D202" s="196" t="s">
        <v>855</v>
      </c>
    </row>
    <row r="203" spans="1:4" x14ac:dyDescent="0.3">
      <c r="A203" s="196" t="s">
        <v>842</v>
      </c>
      <c r="B203" s="196" t="s">
        <v>1482</v>
      </c>
      <c r="C203" t="str">
        <f t="shared" si="3"/>
        <v>SH-Sainte-Hélène, Ascension et Tristan da Cunha</v>
      </c>
      <c r="D203" s="196" t="s">
        <v>842</v>
      </c>
    </row>
    <row r="204" spans="1:4" x14ac:dyDescent="0.3">
      <c r="A204" s="196" t="s">
        <v>857</v>
      </c>
      <c r="B204" s="196" t="s">
        <v>1483</v>
      </c>
      <c r="C204" t="str">
        <f t="shared" si="3"/>
        <v>SI-Slovénie</v>
      </c>
      <c r="D204" s="196" t="s">
        <v>857</v>
      </c>
    </row>
    <row r="205" spans="1:4" x14ac:dyDescent="0.3">
      <c r="A205" s="196" t="s">
        <v>865</v>
      </c>
      <c r="B205" s="196" t="s">
        <v>1484</v>
      </c>
      <c r="C205" t="str">
        <f t="shared" si="3"/>
        <v>SJ-Svalbard et ile Jan Mayen</v>
      </c>
      <c r="D205" s="196" t="s">
        <v>865</v>
      </c>
    </row>
    <row r="206" spans="1:4" x14ac:dyDescent="0.3">
      <c r="A206" s="196" t="s">
        <v>856</v>
      </c>
      <c r="B206" s="196" t="s">
        <v>1485</v>
      </c>
      <c r="C206" t="str">
        <f t="shared" si="3"/>
        <v>SK-Slovaquie</v>
      </c>
      <c r="D206" s="196" t="s">
        <v>856</v>
      </c>
    </row>
    <row r="207" spans="1:4" x14ac:dyDescent="0.3">
      <c r="A207" s="196" t="s">
        <v>854</v>
      </c>
      <c r="B207" s="196" t="s">
        <v>1486</v>
      </c>
      <c r="C207" t="str">
        <f t="shared" si="3"/>
        <v>SL-Sierra Leone</v>
      </c>
      <c r="D207" s="196" t="s">
        <v>854</v>
      </c>
    </row>
    <row r="208" spans="1:4" x14ac:dyDescent="0.3">
      <c r="A208" s="196" t="s">
        <v>845</v>
      </c>
      <c r="B208" s="196" t="s">
        <v>1487</v>
      </c>
      <c r="C208" t="str">
        <f t="shared" si="3"/>
        <v>SM-Saint-Marin</v>
      </c>
      <c r="D208" s="196" t="s">
        <v>845</v>
      </c>
    </row>
    <row r="209" spans="1:4" x14ac:dyDescent="0.3">
      <c r="A209" s="196" t="s">
        <v>852</v>
      </c>
      <c r="B209" s="196" t="s">
        <v>1488</v>
      </c>
      <c r="C209" t="str">
        <f t="shared" si="3"/>
        <v>SN-Sénégal</v>
      </c>
      <c r="D209" s="196" t="s">
        <v>852</v>
      </c>
    </row>
    <row r="210" spans="1:4" x14ac:dyDescent="0.3">
      <c r="A210" s="196" t="s">
        <v>858</v>
      </c>
      <c r="B210" s="196" t="s">
        <v>1489</v>
      </c>
      <c r="C210" t="str">
        <f t="shared" si="3"/>
        <v>SO-Somalie</v>
      </c>
      <c r="D210" s="196" t="s">
        <v>858</v>
      </c>
    </row>
    <row r="211" spans="1:4" x14ac:dyDescent="0.3">
      <c r="A211" s="196" t="s">
        <v>864</v>
      </c>
      <c r="B211" s="196" t="s">
        <v>1490</v>
      </c>
      <c r="C211" t="str">
        <f t="shared" si="3"/>
        <v>SR-Suriname</v>
      </c>
      <c r="D211" s="196" t="s">
        <v>864</v>
      </c>
    </row>
    <row r="212" spans="1:4" x14ac:dyDescent="0.3">
      <c r="A212" s="196" t="s">
        <v>1491</v>
      </c>
      <c r="B212" s="196" t="s">
        <v>1492</v>
      </c>
      <c r="C212" t="str">
        <f t="shared" si="3"/>
        <v>SS-Soudan du Sud</v>
      </c>
      <c r="D212" s="196" t="s">
        <v>1491</v>
      </c>
    </row>
    <row r="213" spans="1:4" x14ac:dyDescent="0.3">
      <c r="A213" s="196" t="s">
        <v>851</v>
      </c>
      <c r="B213" s="196" t="s">
        <v>1493</v>
      </c>
      <c r="C213" t="str">
        <f t="shared" si="3"/>
        <v>ST-Sao Tomé-et-Principe</v>
      </c>
      <c r="D213" s="196" t="s">
        <v>851</v>
      </c>
    </row>
    <row r="214" spans="1:4" x14ac:dyDescent="0.3">
      <c r="A214" s="196" t="s">
        <v>725</v>
      </c>
      <c r="B214" s="196" t="s">
        <v>1494</v>
      </c>
      <c r="C214" t="str">
        <f t="shared" si="3"/>
        <v>SV-Salvador</v>
      </c>
      <c r="D214" s="196" t="s">
        <v>725</v>
      </c>
    </row>
    <row r="215" spans="1:4" x14ac:dyDescent="0.3">
      <c r="A215" s="196" t="s">
        <v>1495</v>
      </c>
      <c r="B215" s="196" t="s">
        <v>1422</v>
      </c>
      <c r="C215" t="str">
        <f t="shared" si="3"/>
        <v>SX-Saint-Martin</v>
      </c>
      <c r="D215" s="196" t="s">
        <v>1495</v>
      </c>
    </row>
    <row r="216" spans="1:4" x14ac:dyDescent="0.3">
      <c r="A216" s="196" t="s">
        <v>867</v>
      </c>
      <c r="B216" s="196" t="s">
        <v>1496</v>
      </c>
      <c r="C216" t="str">
        <f t="shared" si="3"/>
        <v>SY-Syrie</v>
      </c>
      <c r="D216" s="196" t="s">
        <v>867</v>
      </c>
    </row>
    <row r="217" spans="1:4" x14ac:dyDescent="0.3">
      <c r="A217" s="196" t="s">
        <v>866</v>
      </c>
      <c r="B217" s="196" t="s">
        <v>1497</v>
      </c>
      <c r="C217" t="str">
        <f t="shared" si="3"/>
        <v>SZ-Swaziland</v>
      </c>
      <c r="D217" s="196" t="s">
        <v>866</v>
      </c>
    </row>
    <row r="218" spans="1:4" x14ac:dyDescent="0.3">
      <c r="A218" s="196" t="s">
        <v>881</v>
      </c>
      <c r="B218" s="196" t="s">
        <v>1498</v>
      </c>
      <c r="C218" t="str">
        <f t="shared" si="3"/>
        <v>TC-Îles Turques-et-Caïques</v>
      </c>
      <c r="D218" s="196" t="s">
        <v>881</v>
      </c>
    </row>
    <row r="219" spans="1:4" x14ac:dyDescent="0.3">
      <c r="A219" s="196" t="s">
        <v>871</v>
      </c>
      <c r="B219" s="196" t="s">
        <v>1499</v>
      </c>
      <c r="C219" t="str">
        <f t="shared" si="3"/>
        <v>TD-Tchad</v>
      </c>
      <c r="D219" s="196" t="s">
        <v>871</v>
      </c>
    </row>
    <row r="220" spans="1:4" x14ac:dyDescent="0.3">
      <c r="A220" s="196" t="s">
        <v>872</v>
      </c>
      <c r="B220" s="196" t="s">
        <v>1500</v>
      </c>
      <c r="C220" t="str">
        <f t="shared" si="3"/>
        <v>TF-Terres australes et antarctiques françaises</v>
      </c>
      <c r="D220" s="196" t="s">
        <v>872</v>
      </c>
    </row>
    <row r="221" spans="1:4" x14ac:dyDescent="0.3">
      <c r="A221" s="196" t="s">
        <v>875</v>
      </c>
      <c r="B221" s="196" t="s">
        <v>1501</v>
      </c>
      <c r="C221" t="str">
        <f t="shared" si="3"/>
        <v>TG-Togo</v>
      </c>
      <c r="D221" s="196" t="s">
        <v>875</v>
      </c>
    </row>
    <row r="222" spans="1:4" x14ac:dyDescent="0.3">
      <c r="A222" s="196" t="s">
        <v>873</v>
      </c>
      <c r="B222" s="196" t="s">
        <v>1502</v>
      </c>
      <c r="C222" t="str">
        <f t="shared" si="3"/>
        <v>TH-Thaïlande</v>
      </c>
      <c r="D222" s="196" t="s">
        <v>873</v>
      </c>
    </row>
    <row r="223" spans="1:4" x14ac:dyDescent="0.3">
      <c r="A223" s="196" t="s">
        <v>868</v>
      </c>
      <c r="B223" s="196" t="s">
        <v>1503</v>
      </c>
      <c r="C223" t="str">
        <f t="shared" si="3"/>
        <v>TJ-Tadjikistan</v>
      </c>
      <c r="D223" s="196" t="s">
        <v>868</v>
      </c>
    </row>
    <row r="224" spans="1:4" x14ac:dyDescent="0.3">
      <c r="A224" s="196" t="s">
        <v>876</v>
      </c>
      <c r="B224" s="196" t="s">
        <v>1504</v>
      </c>
      <c r="C224" t="str">
        <f t="shared" si="3"/>
        <v>TK-Tokelau</v>
      </c>
      <c r="D224" s="196" t="s">
        <v>876</v>
      </c>
    </row>
    <row r="225" spans="1:4" x14ac:dyDescent="0.3">
      <c r="A225" s="196" t="s">
        <v>874</v>
      </c>
      <c r="B225" s="196" t="s">
        <v>1505</v>
      </c>
      <c r="C225" t="str">
        <f t="shared" si="3"/>
        <v>TL-Timor oriental</v>
      </c>
      <c r="D225" s="196" t="s">
        <v>874</v>
      </c>
    </row>
    <row r="226" spans="1:4" x14ac:dyDescent="0.3">
      <c r="A226" s="196" t="s">
        <v>880</v>
      </c>
      <c r="B226" s="196" t="s">
        <v>1506</v>
      </c>
      <c r="C226" t="str">
        <f t="shared" si="3"/>
        <v>TM-Turkménistan</v>
      </c>
      <c r="D226" s="196" t="s">
        <v>880</v>
      </c>
    </row>
    <row r="227" spans="1:4" x14ac:dyDescent="0.3">
      <c r="A227" s="196" t="s">
        <v>879</v>
      </c>
      <c r="B227" s="196" t="s">
        <v>1507</v>
      </c>
      <c r="C227" t="str">
        <f t="shared" si="3"/>
        <v>TN-Tunisie</v>
      </c>
      <c r="D227" s="196" t="s">
        <v>879</v>
      </c>
    </row>
    <row r="228" spans="1:4" x14ac:dyDescent="0.3">
      <c r="A228" s="196" t="s">
        <v>877</v>
      </c>
      <c r="B228" s="196" t="s">
        <v>1508</v>
      </c>
      <c r="C228" t="str">
        <f t="shared" si="3"/>
        <v>TO-Tonga</v>
      </c>
      <c r="D228" s="196" t="s">
        <v>877</v>
      </c>
    </row>
    <row r="229" spans="1:4" x14ac:dyDescent="0.3">
      <c r="A229" s="196" t="s">
        <v>882</v>
      </c>
      <c r="B229" s="196" t="s">
        <v>1509</v>
      </c>
      <c r="C229" t="str">
        <f t="shared" si="3"/>
        <v>TR-Turquie</v>
      </c>
      <c r="D229" s="196" t="s">
        <v>882</v>
      </c>
    </row>
    <row r="230" spans="1:4" x14ac:dyDescent="0.3">
      <c r="A230" s="196" t="s">
        <v>878</v>
      </c>
      <c r="B230" s="196" t="s">
        <v>1510</v>
      </c>
      <c r="C230" t="str">
        <f t="shared" si="3"/>
        <v>TT-Trinité-et-Tobago</v>
      </c>
      <c r="D230" s="196" t="s">
        <v>878</v>
      </c>
    </row>
    <row r="231" spans="1:4" x14ac:dyDescent="0.3">
      <c r="A231" s="196" t="s">
        <v>883</v>
      </c>
      <c r="B231" s="196" t="s">
        <v>1511</v>
      </c>
      <c r="C231" t="str">
        <f t="shared" si="3"/>
        <v>TV-Tuvalu</v>
      </c>
      <c r="D231" s="196" t="s">
        <v>883</v>
      </c>
    </row>
    <row r="232" spans="1:4" x14ac:dyDescent="0.3">
      <c r="A232" s="196" t="s">
        <v>869</v>
      </c>
      <c r="B232" s="196" t="s">
        <v>1512</v>
      </c>
      <c r="C232" t="str">
        <f t="shared" si="3"/>
        <v>TW-Taïwan / (République de Chine (Taïwan))</v>
      </c>
      <c r="D232" s="196" t="s">
        <v>869</v>
      </c>
    </row>
    <row r="233" spans="1:4" x14ac:dyDescent="0.3">
      <c r="A233" s="196" t="s">
        <v>870</v>
      </c>
      <c r="B233" s="196" t="s">
        <v>1513</v>
      </c>
      <c r="C233" t="str">
        <f t="shared" si="3"/>
        <v>TZ-Tanzanie</v>
      </c>
      <c r="D233" s="196" t="s">
        <v>870</v>
      </c>
    </row>
    <row r="234" spans="1:4" x14ac:dyDescent="0.3">
      <c r="A234" s="196" t="s">
        <v>884</v>
      </c>
      <c r="B234" s="196" t="s">
        <v>1514</v>
      </c>
      <c r="C234" t="str">
        <f t="shared" si="3"/>
        <v>UA-Ukraine</v>
      </c>
      <c r="D234" s="196" t="s">
        <v>884</v>
      </c>
    </row>
    <row r="235" spans="1:4" x14ac:dyDescent="0.3">
      <c r="A235" s="196" t="s">
        <v>819</v>
      </c>
      <c r="B235" s="196" t="s">
        <v>1515</v>
      </c>
      <c r="C235" t="str">
        <f t="shared" si="3"/>
        <v>UG-Ouganda</v>
      </c>
      <c r="D235" s="196" t="s">
        <v>819</v>
      </c>
    </row>
    <row r="236" spans="1:4" x14ac:dyDescent="0.3">
      <c r="A236" s="196" t="s">
        <v>1516</v>
      </c>
      <c r="B236" s="196" t="s">
        <v>1517</v>
      </c>
      <c r="C236" t="str">
        <f t="shared" si="3"/>
        <v>UM-Îles mineures éloignées des États-Unis</v>
      </c>
      <c r="D236" s="196" t="s">
        <v>1516</v>
      </c>
    </row>
    <row r="237" spans="1:4" x14ac:dyDescent="0.3">
      <c r="A237" s="196" t="s">
        <v>731</v>
      </c>
      <c r="B237" s="196" t="s">
        <v>1518</v>
      </c>
      <c r="C237" t="str">
        <f t="shared" si="3"/>
        <v>US-États-Unis</v>
      </c>
      <c r="D237" s="196" t="s">
        <v>731</v>
      </c>
    </row>
    <row r="238" spans="1:4" x14ac:dyDescent="0.3">
      <c r="A238" s="196" t="s">
        <v>885</v>
      </c>
      <c r="B238" s="196" t="s">
        <v>1519</v>
      </c>
      <c r="C238" t="str">
        <f t="shared" si="3"/>
        <v>UY-Uruguay</v>
      </c>
      <c r="D238" s="196" t="s">
        <v>885</v>
      </c>
    </row>
    <row r="239" spans="1:4" x14ac:dyDescent="0.3">
      <c r="A239" s="196" t="s">
        <v>820</v>
      </c>
      <c r="B239" s="196" t="s">
        <v>1520</v>
      </c>
      <c r="C239" t="str">
        <f t="shared" si="3"/>
        <v>UZ-Ouzbékistan</v>
      </c>
      <c r="D239" s="196" t="s">
        <v>820</v>
      </c>
    </row>
    <row r="240" spans="1:4" x14ac:dyDescent="0.3">
      <c r="A240" s="196" t="s">
        <v>887</v>
      </c>
      <c r="B240" s="196" t="s">
        <v>1521</v>
      </c>
      <c r="C240" t="str">
        <f t="shared" si="3"/>
        <v>VA-Saint-Siège (État de la Cité du Vatican)</v>
      </c>
      <c r="D240" s="196" t="s">
        <v>887</v>
      </c>
    </row>
    <row r="241" spans="1:4" x14ac:dyDescent="0.3">
      <c r="A241" s="196" t="s">
        <v>861</v>
      </c>
      <c r="B241" s="196" t="s">
        <v>1522</v>
      </c>
      <c r="C241" t="str">
        <f t="shared" si="3"/>
        <v>VC-Saint-Vincent-et-les Grenadines</v>
      </c>
      <c r="D241" s="196" t="s">
        <v>861</v>
      </c>
    </row>
    <row r="242" spans="1:4" x14ac:dyDescent="0.3">
      <c r="A242" s="196" t="s">
        <v>888</v>
      </c>
      <c r="B242" s="196" t="s">
        <v>1523</v>
      </c>
      <c r="C242" t="str">
        <f t="shared" si="3"/>
        <v>VE-Venezuela</v>
      </c>
      <c r="D242" s="196" t="s">
        <v>888</v>
      </c>
    </row>
    <row r="243" spans="1:4" x14ac:dyDescent="0.3">
      <c r="A243" s="196" t="s">
        <v>757</v>
      </c>
      <c r="B243" s="196" t="s">
        <v>1524</v>
      </c>
      <c r="C243" t="str">
        <f t="shared" si="3"/>
        <v>VG-Îles Vierges britanniques</v>
      </c>
      <c r="D243" s="196" t="s">
        <v>757</v>
      </c>
    </row>
    <row r="244" spans="1:4" x14ac:dyDescent="0.3">
      <c r="A244" s="196" t="s">
        <v>758</v>
      </c>
      <c r="B244" s="196" t="s">
        <v>1525</v>
      </c>
      <c r="C244" t="str">
        <f t="shared" si="3"/>
        <v>VI-Îles Vierges des États-Unis</v>
      </c>
      <c r="D244" s="196" t="s">
        <v>758</v>
      </c>
    </row>
    <row r="245" spans="1:4" x14ac:dyDescent="0.3">
      <c r="A245" s="196" t="s">
        <v>889</v>
      </c>
      <c r="B245" s="196" t="s">
        <v>1526</v>
      </c>
      <c r="C245" t="str">
        <f t="shared" si="3"/>
        <v>VN-Viêt Nam</v>
      </c>
      <c r="D245" s="196" t="s">
        <v>889</v>
      </c>
    </row>
    <row r="246" spans="1:4" x14ac:dyDescent="0.3">
      <c r="A246" s="196" t="s">
        <v>886</v>
      </c>
      <c r="B246" s="196" t="s">
        <v>1527</v>
      </c>
      <c r="C246" t="str">
        <f t="shared" si="3"/>
        <v>VU-Vanuatu</v>
      </c>
      <c r="D246" s="196" t="s">
        <v>886</v>
      </c>
    </row>
    <row r="247" spans="1:4" x14ac:dyDescent="0.3">
      <c r="A247" s="196" t="s">
        <v>890</v>
      </c>
      <c r="B247" s="196" t="s">
        <v>1528</v>
      </c>
      <c r="C247" t="str">
        <f t="shared" si="3"/>
        <v>WF-Wallis-et-Futuna</v>
      </c>
      <c r="D247" s="196" t="s">
        <v>890</v>
      </c>
    </row>
    <row r="248" spans="1:4" x14ac:dyDescent="0.3">
      <c r="A248" s="196" t="s">
        <v>849</v>
      </c>
      <c r="B248" s="196" t="s">
        <v>1529</v>
      </c>
      <c r="C248" t="str">
        <f t="shared" si="3"/>
        <v>WS-Samoa</v>
      </c>
      <c r="D248" s="196" t="s">
        <v>849</v>
      </c>
    </row>
    <row r="249" spans="1:4" x14ac:dyDescent="0.3">
      <c r="A249" s="196" t="s">
        <v>1530</v>
      </c>
      <c r="B249" s="196" t="s">
        <v>1531</v>
      </c>
      <c r="C249" t="str">
        <f t="shared" si="3"/>
        <v>XK-Kosovo</v>
      </c>
      <c r="D249" s="196" t="s">
        <v>1530</v>
      </c>
    </row>
    <row r="250" spans="1:4" x14ac:dyDescent="0.3">
      <c r="A250" s="196" t="s">
        <v>891</v>
      </c>
      <c r="B250" s="196" t="s">
        <v>1532</v>
      </c>
      <c r="C250" t="str">
        <f t="shared" si="3"/>
        <v>YE-Yémen</v>
      </c>
      <c r="D250" s="196" t="s">
        <v>891</v>
      </c>
    </row>
    <row r="251" spans="1:4" x14ac:dyDescent="0.3">
      <c r="A251" s="196" t="s">
        <v>798</v>
      </c>
      <c r="B251" s="196" t="s">
        <v>1533</v>
      </c>
      <c r="C251" t="str">
        <f t="shared" si="3"/>
        <v>YT-Mayotte</v>
      </c>
      <c r="D251" s="196" t="s">
        <v>798</v>
      </c>
    </row>
    <row r="252" spans="1:4" x14ac:dyDescent="0.3">
      <c r="A252" s="196" t="s">
        <v>671</v>
      </c>
      <c r="B252" s="196" t="s">
        <v>1534</v>
      </c>
      <c r="C252" t="str">
        <f t="shared" si="3"/>
        <v>ZA-Afrique du Sud</v>
      </c>
      <c r="D252" s="196" t="s">
        <v>671</v>
      </c>
    </row>
    <row r="253" spans="1:4" x14ac:dyDescent="0.3">
      <c r="A253" s="196" t="s">
        <v>892</v>
      </c>
      <c r="B253" s="196" t="s">
        <v>1535</v>
      </c>
      <c r="C253" t="str">
        <f t="shared" si="3"/>
        <v>ZM-Zambie</v>
      </c>
      <c r="D253" s="196" t="s">
        <v>892</v>
      </c>
    </row>
    <row r="254" spans="1:4" x14ac:dyDescent="0.3">
      <c r="A254" s="196" t="s">
        <v>893</v>
      </c>
      <c r="B254" s="196" t="s">
        <v>1536</v>
      </c>
      <c r="C254" t="str">
        <f t="shared" si="3"/>
        <v>ZW-Zimbabwe</v>
      </c>
      <c r="D254" s="196" t="s">
        <v>893</v>
      </c>
    </row>
  </sheetData>
  <sheetProtection algorithmName="SHA-512" hashValue="9urXU2PV3oQNzV15sZ7M3P8q6OE15eR/6WIr84oXBEys+DkzFXYR1ixz++w22aMOxkEVK2nkV9m5OVzxpBrZJw==" saltValue="oJoidl80etMDhaJyDlnnU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26</vt:i4>
      </vt:variant>
    </vt:vector>
  </HeadingPairs>
  <TitlesOfParts>
    <vt:vector size="38" baseType="lpstr">
      <vt:lpstr>Aide à la saisie</vt:lpstr>
      <vt:lpstr>ODM</vt:lpstr>
      <vt:lpstr>NDF</vt:lpstr>
      <vt:lpstr>Mention CNIL</vt:lpstr>
      <vt:lpstr>AgoraODM</vt:lpstr>
      <vt:lpstr>AgoraNDF</vt:lpstr>
      <vt:lpstr>Pays</vt:lpstr>
      <vt:lpstr>Organisation</vt:lpstr>
      <vt:lpstr>autres ldv</vt:lpstr>
      <vt:lpstr>Liste Structure</vt:lpstr>
      <vt:lpstr>Liste Activites</vt:lpstr>
      <vt:lpstr>Liste Géo</vt:lpstr>
      <vt:lpstr>Activité_projet</vt:lpstr>
      <vt:lpstr>base</vt:lpstr>
      <vt:lpstr>code</vt:lpstr>
      <vt:lpstr>code_unité</vt:lpstr>
      <vt:lpstr>contrat</vt:lpstr>
      <vt:lpstr>convention</vt:lpstr>
      <vt:lpstr>departement</vt:lpstr>
      <vt:lpstr>FI</vt:lpstr>
      <vt:lpstr>FP</vt:lpstr>
      <vt:lpstr>FR</vt:lpstr>
      <vt:lpstr>Géo</vt:lpstr>
      <vt:lpstr>montant</vt:lpstr>
      <vt:lpstr>oui_non</vt:lpstr>
      <vt:lpstr>pays</vt:lpstr>
      <vt:lpstr>PaysRatt</vt:lpstr>
      <vt:lpstr>PI</vt:lpstr>
      <vt:lpstr>PP</vt:lpstr>
      <vt:lpstr>'autres ldv'!Print_Area</vt:lpstr>
      <vt:lpstr>NDF!Print_Area</vt:lpstr>
      <vt:lpstr>ODM!Print_Area</vt:lpstr>
      <vt:lpstr>Structure</vt:lpstr>
      <vt:lpstr>transport</vt:lpstr>
      <vt:lpstr>type</vt:lpstr>
      <vt:lpstr>unite</vt:lpstr>
      <vt:lpstr>vehicule</vt:lpstr>
      <vt:lpstr>vehicule_m</vt:lpstr>
    </vt:vector>
  </TitlesOfParts>
  <Company>CIRAD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rouseau</dc:creator>
  <cp:lastModifiedBy>Oriane BRAUD</cp:lastModifiedBy>
  <cp:lastPrinted>2024-02-14T15:52:51Z</cp:lastPrinted>
  <dcterms:created xsi:type="dcterms:W3CDTF">2013-03-14T16:31:56Z</dcterms:created>
  <dcterms:modified xsi:type="dcterms:W3CDTF">2024-03-25T14:48:05Z</dcterms:modified>
</cp:coreProperties>
</file>